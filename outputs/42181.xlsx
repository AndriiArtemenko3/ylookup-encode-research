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00" yWindow="760" windowWidth="26900" windowHeight="170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'Sheet1'!$A$3:$J$14</definedName>
    <definedName name="_xlnm.Print_Titles" localSheetId="0">'Sheet1'!$3:$3</definedName>
    <definedName name="_xlnm.Print_Area" localSheetId="0">'Sheet1'!$A$1:$I$11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_);\(&quot;$&quot;#,##0\);"/>
    <numFmt numFmtId="166" formatCode="&quot;$&quot;#,##0_);\(&quot;$&quot;#,##0\)"/>
    <numFmt numFmtId="167" formatCode="&quot;$&quot;#,##0.00"/>
    <numFmt numFmtId="168" formatCode="[$-409]mmmm\ d\,\ yyyy;@"/>
    <numFmt numFmtId="169" formatCode="_(&quot;$&quot;* #,##0.00_);_(&quot;$&quot;* \(#,##0.00\);_(&quot;$&quot;* &quot;-&quot;??_);_(@_)"/>
  </numFmts>
  <fonts count="11">
    <font>
      <name val="Arial"/>
      <charset val="134"/>
      <sz val="10"/>
    </font>
    <font>
      <name val="宋体"/>
      <charset val="134"/>
      <family val="3"/>
      <sz val="12"/>
      <scheme val="minor"/>
    </font>
    <font>
      <name val="宋体"/>
      <charset val="134"/>
      <family val="3"/>
      <b val="1"/>
      <sz val="12"/>
      <scheme val="minor"/>
    </font>
    <font>
      <name val="宋体"/>
      <charset val="134"/>
      <family val="3"/>
      <b val="1"/>
      <sz val="16"/>
      <scheme val="minor"/>
    </font>
    <font>
      <name val="宋体"/>
      <charset val="134"/>
      <family val="3"/>
      <color theme="0" tint="-0.3499862666707358"/>
      <sz val="12"/>
      <scheme val="minor"/>
    </font>
    <font>
      <name val="宋体"/>
      <charset val="134"/>
      <family val="3"/>
      <color rgb="FFC00000"/>
      <sz val="12"/>
      <scheme val="minor"/>
    </font>
    <font>
      <name val="宋体"/>
      <charset val="134"/>
      <family val="3"/>
      <color indexed="8"/>
      <sz val="12"/>
      <scheme val="minor"/>
    </font>
    <font>
      <name val="宋体"/>
      <charset val="134"/>
      <family val="3"/>
      <b val="1"/>
      <color indexed="8"/>
      <sz val="12"/>
      <scheme val="minor"/>
    </font>
    <font>
      <name val="宋体"/>
      <charset val="134"/>
      <family val="3"/>
      <color rgb="FFFF0000"/>
      <sz val="12"/>
      <scheme val="minor"/>
    </font>
    <font>
      <name val="Arial"/>
      <family val="2"/>
      <sz val="10"/>
    </font>
    <font>
      <name val="Arial"/>
      <family val="2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9" fontId="9" fillId="0" borderId="0"/>
  </cellStyleXfs>
  <cellXfs count="89">
    <xf numFmtId="0" fontId="0" fillId="0" borderId="0" pivotButton="0" quotePrefix="0" xfId="0"/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164" fontId="1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/>
      <protection locked="0" hidden="0"/>
    </xf>
    <xf numFmtId="1" fontId="1" fillId="0" borderId="2" applyAlignment="1" applyProtection="1" pivotButton="0" quotePrefix="0" xfId="0">
      <alignment horizontal="center" vertical="center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0" fontId="5" fillId="0" borderId="2" applyAlignment="1" applyProtection="1" pivotButton="0" quotePrefix="0" xfId="0">
      <alignment horizontal="left" vertical="center"/>
      <protection locked="0" hidden="0"/>
    </xf>
    <xf numFmtId="1" fontId="5" fillId="0" borderId="2" applyAlignment="1" applyProtection="1" pivotButton="0" quotePrefix="0" xfId="0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0" fontId="1" fillId="0" borderId="3" applyAlignment="1" applyProtection="1" pivotButton="0" quotePrefix="0" xfId="0">
      <alignment horizontal="left" vertical="center" wrapText="1"/>
      <protection locked="0" hidden="0"/>
    </xf>
    <xf numFmtId="1" fontId="6" fillId="0" borderId="2" applyAlignment="1" applyProtection="1" pivotButton="0" quotePrefix="0" xfId="0">
      <alignment horizontal="center" vertical="center" wrapText="1"/>
      <protection locked="0" hidden="0"/>
    </xf>
    <xf numFmtId="1" fontId="6" fillId="0" borderId="4" applyAlignment="1" applyProtection="1" pivotButton="0" quotePrefix="0" xfId="0">
      <alignment horizontal="center" vertical="center" wrapText="1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1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1" fontId="1" fillId="0" borderId="0" applyAlignment="1" pivotButton="0" quotePrefix="0" xfId="0">
      <alignment horizontal="center" vertical="center" wrapText="1"/>
    </xf>
    <xf numFmtId="1" fontId="1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4" fontId="1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4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4" fontId="6" fillId="0" borderId="0" applyAlignment="1" applyProtection="1" pivotButton="0" quotePrefix="0" xfId="0">
      <alignment horizontal="center" vertical="center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  <xf numFmtId="4" fontId="6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4" fontId="1" fillId="0" borderId="0" applyProtection="1" pivotButton="0" quotePrefix="0" xfId="0">
      <protection locked="0" hidden="0"/>
    </xf>
    <xf numFmtId="0" fontId="1" fillId="0" borderId="0" pivotButton="0" quotePrefix="0" xfId="0"/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vertical="center"/>
      <protection locked="0" hidden="0"/>
    </xf>
    <xf numFmtId="0" fontId="5" fillId="0" borderId="2" applyAlignment="1" applyProtection="1" pivotButton="0" quotePrefix="0" xfId="0">
      <alignment vertical="center"/>
      <protection locked="0" hidden="0"/>
    </xf>
    <xf numFmtId="0" fontId="1" fillId="0" borderId="6" applyAlignment="1" applyProtection="1" pivotButton="0" quotePrefix="0" xfId="0">
      <alignment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horizontal="right" vertical="center" wrapText="1"/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0" fontId="1" fillId="0" borderId="5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8" fontId="3" fillId="0" borderId="0" applyAlignment="1" applyProtection="1" pivotButton="0" quotePrefix="0" xfId="0">
      <alignment horizontal="left" vertical="center" wrapText="1" indent="1"/>
      <protection locked="0" hidden="0"/>
    </xf>
    <xf numFmtId="164" fontId="5" fillId="0" borderId="1" applyAlignment="1" applyProtection="1" pivotButton="0" quotePrefix="0" xfId="0">
      <alignment horizontal="center" vertical="center" wrapText="1"/>
      <protection locked="0" hidden="0"/>
    </xf>
    <xf numFmtId="165" fontId="6" fillId="0" borderId="2" applyAlignment="1" pivotButton="0" quotePrefix="0" xfId="1">
      <alignment horizontal="center" vertical="center" wrapText="1"/>
    </xf>
    <xf numFmtId="166" fontId="6" fillId="0" borderId="2" applyAlignment="1" pivotButton="0" quotePrefix="0" xfId="1">
      <alignment horizontal="center" vertical="center" wrapText="1"/>
    </xf>
    <xf numFmtId="166" fontId="6" fillId="0" borderId="2" applyAlignment="1" applyProtection="1" pivotButton="0" quotePrefix="0" xfId="1">
      <alignment horizontal="center" vertical="center"/>
      <protection locked="0" hidden="0"/>
    </xf>
    <xf numFmtId="165" fontId="5" fillId="0" borderId="2" applyAlignment="1" pivotButton="0" quotePrefix="0" xfId="1">
      <alignment horizontal="center" vertical="center" wrapText="1"/>
    </xf>
    <xf numFmtId="166" fontId="5" fillId="0" borderId="2" applyAlignment="1" pivotButton="0" quotePrefix="0" xfId="1">
      <alignment horizontal="center" vertical="center" wrapText="1"/>
    </xf>
    <xf numFmtId="166" fontId="5" fillId="0" borderId="2" applyAlignment="1" applyProtection="1" pivotButton="0" quotePrefix="0" xfId="1">
      <alignment horizontal="center" vertical="center"/>
      <protection locked="0" hidden="0"/>
    </xf>
    <xf numFmtId="166" fontId="6" fillId="2" borderId="2" applyAlignment="1" applyProtection="1" pivotButton="0" quotePrefix="0" xfId="1">
      <alignment horizontal="center" vertical="center"/>
      <protection locked="0" hidden="0"/>
    </xf>
    <xf numFmtId="166" fontId="6" fillId="0" borderId="2" applyAlignment="1" applyProtection="1" pivotButton="0" quotePrefix="0" xfId="1">
      <alignment horizontal="center" vertical="center" wrapText="1"/>
      <protection locked="0" hidden="0"/>
    </xf>
    <xf numFmtId="166" fontId="6" fillId="2" borderId="2" applyAlignment="1" applyProtection="1" pivotButton="0" quotePrefix="0" xfId="1">
      <alignment horizontal="center" vertical="center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166" fontId="1" fillId="0" borderId="6" applyAlignment="1" pivotButton="0" quotePrefix="0" xfId="1">
      <alignment horizontal="center" vertical="center"/>
    </xf>
    <xf numFmtId="0" fontId="0" fillId="0" borderId="3" pivotButton="0" quotePrefix="0" xfId="0"/>
    <xf numFmtId="167" fontId="6" fillId="0" borderId="0" applyAlignment="1" applyProtection="1" pivotButton="0" quotePrefix="0" xfId="0">
      <alignment horizontal="center" vertical="center" wrapText="1"/>
      <protection locked="0" hidden="0"/>
    </xf>
    <xf numFmtId="167" fontId="1" fillId="0" borderId="0" applyAlignment="1" applyProtection="1" pivotButton="0" quotePrefix="0" xfId="0">
      <alignment horizontal="center" vertical="center"/>
      <protection locked="0" hidden="0"/>
    </xf>
    <xf numFmtId="164" fontId="6" fillId="2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/>
      <protection locked="0" hidden="0"/>
    </xf>
    <xf numFmtId="167" fontId="7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0">
      <alignment horizontal="center" vertical="center"/>
      <protection locked="0" hidden="0"/>
    </xf>
    <xf numFmtId="167" fontId="1" fillId="0" borderId="0" applyAlignment="1" applyProtection="1" pivotButton="0" quotePrefix="0" xfId="0">
      <alignment horizontal="left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7" fontId="6" fillId="0" borderId="0" applyAlignment="1" applyProtection="1" pivotButton="0" quotePrefix="0" xfId="0">
      <alignment vertical="center"/>
      <protection locked="0" hidden="0"/>
    </xf>
  </cellXfs>
  <cellStyles count="2">
    <cellStyle name="常规" xfId="0" builtinId="0"/>
    <cellStyle name="货币" xfId="1" builtinId="4"/>
  </cellStyles>
  <dxfs count="3"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tabSelected="1" workbookViewId="0">
      <pane ySplit="3" topLeftCell="A4" activePane="bottomLeft" state="frozen"/>
      <selection pane="bottomLeft" activeCell="B13" sqref="B13"/>
    </sheetView>
  </sheetViews>
  <sheetFormatPr baseColWidth="10" defaultColWidth="9.1640625" defaultRowHeight="15"/>
  <cols>
    <col width="23" customWidth="1" style="4" min="1" max="1"/>
    <col width="7.1640625" customWidth="1" style="4" min="2" max="2"/>
    <col width="9" customWidth="1" style="4" min="3" max="4"/>
    <col width="8.33203125" customWidth="1" style="4" min="5" max="5"/>
    <col width="8.6640625" customWidth="1" style="4" min="6" max="6"/>
    <col width="9" customWidth="1" style="4" min="7" max="7"/>
    <col width="9.83203125" customWidth="1" style="4" min="8" max="8"/>
    <col width="36.1640625" customWidth="1" style="64" min="9" max="9"/>
    <col width="30.33203125" customWidth="1" style="4" min="10" max="10"/>
    <col width="9.1640625" customWidth="1" style="4" min="11" max="16384"/>
  </cols>
  <sheetData>
    <row r="1" ht="20" customFormat="1" customHeight="1" s="1">
      <c r="A1" s="60" t="n"/>
      <c r="B1" s="65" t="n"/>
      <c r="C1" s="65" t="n"/>
      <c r="D1" s="65" t="n"/>
      <c r="E1" s="66" t="n"/>
      <c r="F1" s="65" t="n"/>
      <c r="G1" s="65" t="n"/>
      <c r="H1" s="65" t="n"/>
      <c r="I1" s="65" t="n"/>
    </row>
    <row r="2" ht="30.75" customFormat="1" customHeight="1" s="1">
      <c r="A2" s="6" t="n"/>
      <c r="B2" s="7" t="n"/>
      <c r="C2" s="67" t="n"/>
      <c r="D2" s="67" t="n"/>
      <c r="E2" s="7" t="n"/>
      <c r="F2" s="67" t="n"/>
      <c r="G2" s="7" t="n"/>
      <c r="H2" s="67" t="n"/>
      <c r="I2" s="7" t="n"/>
    </row>
    <row r="3" ht="45.75" customFormat="1" customHeight="1" s="1">
      <c r="A3" s="9" t="inlineStr">
        <is>
          <t>NAME</t>
        </is>
      </c>
      <c r="B3" s="9" t="inlineStr">
        <is>
          <t>Base Unit</t>
        </is>
      </c>
      <c r="C3" s="9" t="n"/>
      <c r="D3" s="9" t="n"/>
      <c r="E3" s="9" t="n"/>
      <c r="F3" s="9" t="n"/>
      <c r="G3" s="9" t="n"/>
      <c r="H3" s="9" t="n"/>
      <c r="I3" s="55" t="inlineStr">
        <is>
          <t>Notes</t>
        </is>
      </c>
    </row>
    <row r="4" ht="18" customFormat="1" customHeight="1" s="2">
      <c r="A4" s="10" t="inlineStr">
        <is>
          <t>Doe, Jane</t>
        </is>
      </c>
      <c r="B4" s="11" t="n">
        <v>2</v>
      </c>
      <c r="C4" s="11" t="n"/>
      <c r="D4" s="68" t="n"/>
      <c r="E4" s="69" t="n"/>
      <c r="F4" s="68">
        <f>MAX(0,IFERROR(D4-E4,D4))</f>
        <v/>
      </c>
      <c r="G4" s="70" t="n"/>
      <c r="H4" s="70" t="n"/>
      <c r="I4" s="56" t="inlineStr">
        <is>
          <t>Note (blah blah blah)</t>
        </is>
      </c>
    </row>
    <row r="5" ht="18" customFormat="1" customHeight="1" s="2">
      <c r="A5" s="15" t="inlineStr">
        <is>
          <t>Doe, John</t>
        </is>
      </c>
      <c r="B5" s="16" t="n">
        <v>3</v>
      </c>
      <c r="C5" s="16" t="n"/>
      <c r="D5" s="71">
        <f>B5*$C$2</f>
        <v/>
      </c>
      <c r="E5" s="72">
        <f>IF(ISBLANK(C5),"",D5)</f>
        <v/>
      </c>
      <c r="F5" s="71">
        <f>MAX(0,IFERROR(D5-E5,D5))</f>
        <v/>
      </c>
      <c r="G5" s="73" t="n"/>
      <c r="H5" s="73" t="n"/>
      <c r="I5" s="57" t="inlineStr">
        <is>
          <t>1 Note</t>
        </is>
      </c>
    </row>
    <row r="6" ht="18" customFormat="1" customHeight="1" s="2">
      <c r="A6" s="10" t="inlineStr">
        <is>
          <t>Do, Adeer</t>
        </is>
      </c>
      <c r="B6" s="11" t="n">
        <v>4</v>
      </c>
      <c r="C6" s="11" t="n"/>
      <c r="D6" s="68">
        <f>B6*$C$2</f>
        <v/>
      </c>
      <c r="E6" s="69">
        <f>IF(ISBLANK(C6),"",D6)</f>
        <v/>
      </c>
      <c r="F6" s="68">
        <f>MAX(0,IFERROR(D6-E6,D6))</f>
        <v/>
      </c>
      <c r="G6" s="70" t="n"/>
      <c r="H6" s="74" t="n"/>
      <c r="I6" s="56" t="n"/>
    </row>
    <row r="7" ht="18" customFormat="1" customHeight="1" s="2">
      <c r="A7" s="10" t="inlineStr">
        <is>
          <t>Re, Sunnie</t>
        </is>
      </c>
      <c r="B7" s="11" t="n">
        <v>2</v>
      </c>
      <c r="C7" s="11" t="n"/>
      <c r="D7" s="68" t="n"/>
      <c r="E7" s="69" t="n"/>
      <c r="F7" s="68">
        <f>MAX(0,IFERROR(D7-E7,D7))</f>
        <v/>
      </c>
      <c r="G7" s="70" t="n"/>
      <c r="H7" s="70" t="n"/>
      <c r="I7" s="56" t="inlineStr">
        <is>
          <t>Note</t>
        </is>
      </c>
    </row>
    <row r="8" ht="18" customFormat="1" customHeight="1" s="2">
      <c r="A8" s="15" t="inlineStr">
        <is>
          <t>Mi, Aname</t>
        </is>
      </c>
      <c r="B8" s="16" t="n">
        <v>3</v>
      </c>
      <c r="C8" s="16" t="n"/>
      <c r="D8" s="71">
        <f>B8*$C$2</f>
        <v/>
      </c>
      <c r="E8" s="72">
        <f>IF(ISBLANK(C8),"",D8)</f>
        <v/>
      </c>
      <c r="F8" s="71">
        <f>MAX(0,IFERROR(D8-E8,D8))</f>
        <v/>
      </c>
      <c r="G8" s="73" t="n"/>
      <c r="H8" s="73" t="n"/>
      <c r="I8" s="57" t="inlineStr">
        <is>
          <t>2 Notes</t>
        </is>
      </c>
    </row>
    <row r="9" ht="18" customFormat="1" customHeight="1" s="2">
      <c r="A9" s="10" t="inlineStr">
        <is>
          <t>Fa, Long</t>
        </is>
      </c>
      <c r="B9" s="11" t="n">
        <v>4</v>
      </c>
      <c r="C9" s="11" t="n"/>
      <c r="D9" s="68">
        <f>B9*$C$2</f>
        <v/>
      </c>
      <c r="E9" s="69">
        <f>IF(ISBLANK(C9),"",D9)</f>
        <v/>
      </c>
      <c r="F9" s="68">
        <f>MAX(0,IFERROR(D9-E9,D9))</f>
        <v/>
      </c>
      <c r="G9" s="70" t="n"/>
      <c r="H9" s="74" t="n"/>
      <c r="I9" s="56" t="n"/>
    </row>
    <row r="10" ht="18" customFormat="1" customHeight="1" s="2">
      <c r="A10" s="21" t="n"/>
      <c r="B10" s="22" t="n"/>
      <c r="C10" s="23" t="n"/>
      <c r="D10" s="68">
        <f>B10*$C$2</f>
        <v/>
      </c>
      <c r="E10" s="69">
        <f>IF(ISBLANK(C10),"",D10)</f>
        <v/>
      </c>
      <c r="F10" s="68">
        <f>MAX(0,IFERROR(D10-E10,D10))</f>
        <v/>
      </c>
      <c r="G10" s="75" t="n"/>
      <c r="H10" s="76" t="n"/>
      <c r="I10" s="56" t="n"/>
    </row>
    <row r="11" ht="18" customFormat="1" customHeight="1" s="2">
      <c r="A11" s="77" t="inlineStr">
        <is>
          <t>TOTALS</t>
        </is>
      </c>
      <c r="B11" s="26">
        <f>SUM(B4:B10)</f>
        <v/>
      </c>
      <c r="C11" s="26" t="n"/>
      <c r="D11" s="78" t="n"/>
      <c r="E11" s="78" t="n"/>
      <c r="F11" s="78" t="n"/>
      <c r="G11" s="78" t="n"/>
      <c r="H11" s="78" t="n"/>
      <c r="I11" s="58" t="n"/>
    </row>
    <row r="12" ht="45.75" customFormat="1" customHeight="1" s="1">
      <c r="A12" s="79" t="n"/>
      <c r="B12" s="9" t="n"/>
      <c r="C12" s="9" t="n"/>
      <c r="D12" s="9" t="n"/>
      <c r="E12" s="9" t="n"/>
      <c r="F12" s="9" t="n"/>
      <c r="G12" s="9" t="n"/>
      <c r="H12" s="9" t="n"/>
      <c r="I12" s="59" t="n"/>
    </row>
    <row r="13" ht="18" customFormat="1" customHeight="1" s="2">
      <c r="A13" s="28" t="inlineStr">
        <is>
          <t>Note</t>
        </is>
      </c>
      <c r="B13" s="29" t="n">
        <v>4</v>
      </c>
      <c r="D13" s="30" t="n"/>
      <c r="E13" s="80" t="n"/>
      <c r="F13" s="32" t="n"/>
      <c r="G13" s="81" t="n"/>
      <c r="H13" s="82" t="n"/>
    </row>
    <row r="14" ht="18" customFormat="1" customHeight="1" s="2">
      <c r="A14" s="35" t="inlineStr">
        <is>
          <t>Partial Note</t>
        </is>
      </c>
      <c r="B14" s="29">
        <f t="array" ref="B14">SUM(IFERROR(IF(ISNUMBER(FIND(A13,$I$4:$I$10)),VALUE(LEFT($I$4:$I$10,FIND(A13,$I$4:$I$10)-1)),0),0))</f>
        <v/>
      </c>
      <c r="C14" s="30" t="n"/>
      <c r="D14" s="30" t="n"/>
      <c r="E14" s="80" t="n"/>
      <c r="F14" s="32" t="n"/>
      <c r="G14" s="36" t="n"/>
      <c r="H14" s="83" t="n"/>
    </row>
    <row r="15" ht="18" customFormat="1" customHeight="1" s="3">
      <c r="A15" s="38" t="n"/>
      <c r="B15" s="39" t="n"/>
      <c r="C15" s="38" t="n"/>
      <c r="D15" s="38" t="n"/>
      <c r="E15" s="84" t="n"/>
      <c r="F15" s="41" t="n"/>
      <c r="G15" s="42" t="n"/>
      <c r="H15" s="85" t="n"/>
    </row>
    <row r="16" ht="15" customHeight="1">
      <c r="A16" s="86" t="n"/>
      <c r="B16" s="45" t="n"/>
      <c r="C16" s="45" t="n"/>
      <c r="D16" s="45" t="n"/>
      <c r="E16" s="46" t="n"/>
      <c r="F16" s="47" t="n"/>
      <c r="G16" s="47" t="n"/>
      <c r="H16" s="87" t="n"/>
      <c r="I16" s="4" t="n"/>
    </row>
    <row r="17" ht="15" customHeight="1">
      <c r="A17" s="86" t="n"/>
      <c r="B17" s="45" t="n"/>
      <c r="C17" s="45" t="n"/>
      <c r="D17" s="45" t="n"/>
      <c r="E17" s="46" t="n"/>
      <c r="F17" s="88" t="n"/>
      <c r="G17" s="50" t="n"/>
      <c r="H17" s="87" t="n"/>
      <c r="I17" s="4" t="n"/>
    </row>
    <row r="18">
      <c r="A18" s="51" t="n"/>
      <c r="B18" s="52" t="n"/>
      <c r="C18" s="52" t="n"/>
      <c r="D18" s="52" t="n"/>
      <c r="E18" s="46" t="n"/>
      <c r="G18" s="53" t="n"/>
      <c r="H18" s="64" t="n"/>
      <c r="I18" s="4" t="n"/>
    </row>
    <row r="19">
      <c r="A19" s="51" t="n"/>
      <c r="B19" s="52" t="n"/>
      <c r="C19" s="52" t="n"/>
      <c r="E19" s="46" t="n"/>
      <c r="G19" s="53" t="n"/>
      <c r="H19" s="64" t="n"/>
      <c r="I19" s="4" t="n"/>
    </row>
    <row r="20">
      <c r="A20" s="52" t="n"/>
      <c r="B20" s="52" t="n"/>
      <c r="C20" s="52" t="n"/>
      <c r="E20" s="46" t="n"/>
      <c r="H20" s="64" t="n"/>
      <c r="I20" s="4" t="n"/>
    </row>
    <row r="21">
      <c r="A21" s="52" t="n"/>
      <c r="B21" s="52" t="n"/>
      <c r="C21" s="52" t="n"/>
      <c r="E21" s="46" t="n"/>
      <c r="H21" s="64" t="n"/>
      <c r="I21" s="4" t="n"/>
    </row>
    <row r="22">
      <c r="B22" s="52" t="n"/>
      <c r="C22" s="52" t="n"/>
      <c r="E22" s="46" t="n"/>
      <c r="H22" s="64" t="n"/>
      <c r="I22" s="4" t="n"/>
    </row>
    <row r="23">
      <c r="B23" s="52" t="n"/>
      <c r="C23" s="52" t="n"/>
      <c r="E23" s="46" t="n"/>
      <c r="H23" s="64" t="n"/>
      <c r="I23" s="4" t="n"/>
    </row>
    <row r="24">
      <c r="B24" s="52" t="n"/>
      <c r="C24" s="52" t="n"/>
      <c r="E24" s="46" t="n"/>
      <c r="H24" s="64" t="n"/>
      <c r="I24" s="4" t="n"/>
    </row>
    <row r="25">
      <c r="B25" s="52" t="n"/>
      <c r="C25" s="52" t="n"/>
      <c r="E25" s="46" t="n"/>
      <c r="H25" s="64" t="n"/>
      <c r="I25" s="4" t="n"/>
    </row>
    <row r="26">
      <c r="B26" s="52" t="n"/>
      <c r="C26" s="52" t="n"/>
      <c r="E26" s="46" t="n"/>
      <c r="H26" s="64" t="n"/>
      <c r="I26" s="4" t="n"/>
    </row>
    <row r="27">
      <c r="B27" s="52" t="n"/>
      <c r="C27" s="52" t="n"/>
      <c r="E27" s="46" t="n"/>
      <c r="H27" s="64" t="n"/>
      <c r="I27" s="4" t="n"/>
    </row>
    <row r="28">
      <c r="B28" s="52" t="n"/>
      <c r="C28" s="52" t="n"/>
      <c r="E28" s="46" t="n"/>
      <c r="H28" s="64" t="n"/>
      <c r="I28" s="4" t="n"/>
    </row>
    <row r="29">
      <c r="B29" s="52" t="n"/>
      <c r="C29" s="52" t="n"/>
      <c r="E29" s="46" t="n"/>
      <c r="H29" s="64" t="n"/>
      <c r="I29" s="4" t="n"/>
    </row>
    <row r="30">
      <c r="B30" s="52" t="n"/>
      <c r="C30" s="52" t="n"/>
      <c r="E30" s="46" t="n"/>
      <c r="H30" s="64" t="n"/>
      <c r="I30" s="4" t="n"/>
    </row>
    <row r="31">
      <c r="B31" s="52" t="n"/>
      <c r="C31" s="52" t="n"/>
      <c r="E31" s="46" t="n"/>
      <c r="H31" s="64" t="n"/>
      <c r="I31" s="4" t="n"/>
    </row>
    <row r="32">
      <c r="B32" s="52" t="n"/>
      <c r="C32" s="52" t="n"/>
      <c r="E32" s="46" t="n"/>
      <c r="H32" s="64" t="n"/>
      <c r="I32" s="4" t="n"/>
    </row>
    <row r="33">
      <c r="B33" s="52" t="n"/>
      <c r="C33" s="52" t="n"/>
      <c r="E33" s="46" t="n"/>
      <c r="H33" s="64" t="n"/>
      <c r="I33" s="4" t="n"/>
    </row>
    <row r="34">
      <c r="B34" s="52" t="n"/>
      <c r="C34" s="52" t="n"/>
      <c r="E34" s="46" t="n"/>
      <c r="H34" s="64" t="n"/>
      <c r="I34" s="4" t="n"/>
    </row>
    <row r="35">
      <c r="E35" s="54" t="n"/>
      <c r="H35" s="64" t="n"/>
      <c r="I35" s="4" t="n"/>
    </row>
    <row r="36">
      <c r="H36" s="64" t="n"/>
      <c r="I36" s="4" t="n"/>
    </row>
    <row r="37">
      <c r="H37" s="64" t="n"/>
      <c r="I37" s="4" t="n"/>
    </row>
    <row r="38">
      <c r="H38" s="64" t="n"/>
      <c r="I38" s="4" t="n"/>
    </row>
    <row r="39">
      <c r="H39" s="64" t="n"/>
      <c r="I39" s="4" t="n"/>
    </row>
    <row r="40">
      <c r="H40" s="64" t="n"/>
      <c r="I40" s="4" t="n"/>
    </row>
    <row r="41">
      <c r="H41" s="64" t="n"/>
      <c r="I41" s="4" t="n"/>
    </row>
    <row r="42">
      <c r="H42" s="64" t="n"/>
      <c r="I42" s="4" t="n"/>
    </row>
  </sheetData>
  <autoFilter ref="A3:J14">
    <sortState ref="A3:J14">
      <sortCondition ref="A3:A42"/>
    </sortState>
  </autoFilter>
  <mergeCells count="3">
    <mergeCell ref="E1:I1"/>
    <mergeCell ref="A1:D1"/>
    <mergeCell ref="A11:A12"/>
  </mergeCells>
  <conditionalFormatting sqref="D4:D6 D10">
    <cfRule type="expression" priority="33" dxfId="0">
      <formula>AND($E$1&lt;TODAY(),$F4-SUM($G4:$H4)&gt;0)</formula>
    </cfRule>
  </conditionalFormatting>
  <conditionalFormatting sqref="D7:D9">
    <cfRule type="expression" priority="2" dxfId="0">
      <formula>AND($E$1&lt;TODAY(),$F7-SUM($G7:$H7)&gt;0)</formula>
    </cfRule>
  </conditionalFormatting>
  <conditionalFormatting sqref="F4:H10">
    <cfRule type="expression" priority="1" dxfId="0">
      <formula>AND($E$1&lt;TODAY(),$F4-SUM($G4:$H4)&gt;0)</formula>
    </cfRule>
  </conditionalFormatting>
  <printOptions gridLines="1"/>
  <pageMargins left="0.5" right="0.2" top="0.5" bottom="0.5" header="0.5" footer="0.5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2006-11-01T01:01:00Z</dcterms:created>
  <dcterms:modified xmlns:dcterms="http://purl.org/dc/terms/" xmlns:xsi="http://www.w3.org/2001/XMLSchema-instance" xsi:type="dcterms:W3CDTF">2026-09-06T05:58:07Z</dcterms:modified>
  <cp:lastModifiedBy>T T</cp:lastModifiedBy>
  <cp:lastPrinted>2022-07-01T23:06:00Z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70624229BC2C45FF8365B6A949D0A4C7_12</vt:lpwstr>
  </property>
</Properties>
</file>