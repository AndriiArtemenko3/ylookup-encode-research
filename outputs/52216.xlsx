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ANNUAL OUTPU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_-&quot;$&quot;* #,##0_-;\-&quot;$&quot;* #,##0_-;_-&quot;$&quot;* &quot;-&quot;_-;_-@_-"/>
  </numFmts>
  <fonts count="9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i val="1"/>
      <color theme="1"/>
      <sz val="11"/>
      <scheme val="minor"/>
    </font>
    <font>
      <name val="等线"/>
      <charset val="134"/>
      <family val="3"/>
      <b val="1"/>
      <color theme="0"/>
      <sz val="14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wrapText="1"/>
    </xf>
    <xf numFmtId="0" fontId="2" fillId="2" borderId="0" pivotButton="0" quotePrefix="0" xfId="0"/>
    <xf numFmtId="164" fontId="0" fillId="2" borderId="0" pivotButton="0" quotePrefix="0" xfId="0"/>
    <xf numFmtId="0" fontId="3" fillId="2" borderId="0" pivotButton="0" quotePrefix="0" xfId="0"/>
    <xf numFmtId="165" fontId="0" fillId="2" borderId="0" pivotButton="0" quotePrefix="0" xfId="0"/>
    <xf numFmtId="0" fontId="3" fillId="2" borderId="1" pivotButton="0" quotePrefix="0" xfId="0"/>
    <xf numFmtId="165" fontId="0" fillId="2" borderId="1" pivotButton="0" quotePrefix="0" xfId="0"/>
    <xf numFmtId="0" fontId="4" fillId="3" borderId="2" pivotButton="0" quotePrefix="0" xfId="0"/>
    <xf numFmtId="0" fontId="5" fillId="3" borderId="3" applyAlignment="1" pivotButton="0" quotePrefix="0" xfId="0">
      <alignment horizontal="center"/>
    </xf>
    <xf numFmtId="0" fontId="2" fillId="2" borderId="4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0" fontId="0" fillId="2" borderId="4" pivotButton="0" quotePrefix="0" xfId="0"/>
    <xf numFmtId="9" fontId="0" fillId="4" borderId="0" pivotButton="0" quotePrefix="0" xfId="0"/>
    <xf numFmtId="0" fontId="0" fillId="2" borderId="5" pivotButton="0" quotePrefix="0" xfId="0"/>
    <xf numFmtId="9" fontId="0" fillId="4" borderId="6" pivotButton="0" quotePrefix="0" xfId="0"/>
    <xf numFmtId="0" fontId="2" fillId="2" borderId="7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0" fontId="2" fillId="2" borderId="9" pivotButton="0" quotePrefix="0" xfId="0"/>
    <xf numFmtId="166" fontId="2" fillId="4" borderId="3" pivotButton="0" quotePrefix="0" xfId="0"/>
    <xf numFmtId="0" fontId="4" fillId="3" borderId="10" pivotButton="0" quotePrefix="0" xfId="0"/>
    <xf numFmtId="0" fontId="6" fillId="3" borderId="0" pivotButton="0" quotePrefix="0" xfId="0"/>
    <xf numFmtId="0" fontId="0" fillId="5" borderId="4" pivotButton="0" quotePrefix="0" xfId="0"/>
    <xf numFmtId="0" fontId="5" fillId="3" borderId="9" applyAlignment="1" pivotButton="0" quotePrefix="0" xfId="0">
      <alignment horizontal="center"/>
    </xf>
    <xf numFmtId="10" fontId="0" fillId="2" borderId="0" pivotButton="0" quotePrefix="0" xfId="0"/>
    <xf numFmtId="3" fontId="0" fillId="2" borderId="0" pivotButton="0" quotePrefix="0" xfId="0"/>
    <xf numFmtId="9" fontId="0" fillId="2" borderId="0" pivotButton="0" quotePrefix="0" xfId="0"/>
    <xf numFmtId="0" fontId="2" fillId="2" borderId="0" applyAlignment="1" pivotButton="0" quotePrefix="0" xfId="0">
      <alignment horizontal="center"/>
    </xf>
    <xf numFmtId="165" fontId="0" fillId="2" borderId="0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166" fontId="2" fillId="4" borderId="3" pivotButton="0" quotePrefix="0" xfId="0"/>
    <xf numFmtId="164" fontId="0" fillId="2" borderId="0" pivotButton="0" quotePrefix="0" xfId="0"/>
    <xf numFmtId="165" fontId="0" fillId="2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E10"/>
  <sheetViews>
    <sheetView workbookViewId="0">
      <selection activeCell="E10" sqref="E10"/>
    </sheetView>
  </sheetViews>
  <sheetFormatPr baseColWidth="8" defaultColWidth="8.640625" defaultRowHeight="14.15"/>
  <cols>
    <col width="34.42578125" customWidth="1" style="1" min="1" max="1"/>
    <col width="12.140625" customWidth="1" style="1" min="2" max="2"/>
    <col width="8.640625" customWidth="1" style="1" min="3" max="16384"/>
  </cols>
  <sheetData>
    <row r="3">
      <c r="A3" s="1" t="inlineStr">
        <is>
          <t>ASSUMPTIONS:</t>
        </is>
      </c>
    </row>
    <row r="4">
      <c r="A4" s="1" t="inlineStr">
        <is>
          <t>Annual Asking Rent (P/SQM)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1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1" t="n">
        <v>0.025</v>
      </c>
    </row>
    <row r="7">
      <c r="A7" s="1" t="inlineStr">
        <is>
          <t>Net Lettable Area (SQM)</t>
        </is>
      </c>
      <c r="B7" s="32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3" t="n">
        <v>0.03</v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L23"/>
  <sheetViews>
    <sheetView tabSelected="1" workbookViewId="0">
      <selection activeCell="E22" sqref="E22"/>
    </sheetView>
  </sheetViews>
  <sheetFormatPr baseColWidth="8" defaultColWidth="8.640625" defaultRowHeight="14.15"/>
  <cols>
    <col width="30.140625" customWidth="1" style="1" min="1" max="1"/>
    <col width="8.640625" customWidth="1" style="1" min="2" max="2"/>
    <col width="11" customWidth="1" style="1" min="3" max="3"/>
    <col width="13.640625" customWidth="1" style="1" min="4" max="12"/>
    <col width="8.640625" customWidth="1" style="1" min="13" max="16384"/>
  </cols>
  <sheetData>
    <row r="2">
      <c r="B2" s="34" t="inlineStr">
        <is>
          <t>YEAR</t>
        </is>
      </c>
    </row>
    <row r="3" ht="18" customHeight="1">
      <c r="A3" s="11" t="inlineStr">
        <is>
          <t xml:space="preserve">REVENUE </t>
        </is>
      </c>
      <c r="B3" s="12" t="n">
        <v>0</v>
      </c>
      <c r="C3" s="12" t="n">
        <v>1</v>
      </c>
      <c r="D3" s="12" t="n">
        <v>2</v>
      </c>
      <c r="E3" s="12" t="n">
        <v>3</v>
      </c>
      <c r="F3" s="12" t="n">
        <v>4</v>
      </c>
      <c r="G3" s="12" t="n">
        <v>5</v>
      </c>
      <c r="H3" s="12" t="n">
        <v>6</v>
      </c>
      <c r="I3" s="12" t="n">
        <v>7</v>
      </c>
      <c r="J3" s="12" t="n">
        <v>8</v>
      </c>
      <c r="K3" s="12" t="n">
        <v>9</v>
      </c>
      <c r="L3" s="30" t="n">
        <v>10</v>
      </c>
    </row>
    <row r="4">
      <c r="A4" s="13" t="inlineStr">
        <is>
          <t>Gross Potential Rent (GPR)</t>
        </is>
      </c>
      <c r="B4" s="36" t="n">
        <v>0</v>
      </c>
      <c r="C4" s="37">
        <f>DATA!B4*DATA!B7</f>
        <v/>
      </c>
      <c r="D4" s="37">
        <f>C4*(1+D5)</f>
        <v/>
      </c>
      <c r="E4" s="37">
        <f>D4*(1+E5)</f>
        <v/>
      </c>
      <c r="F4" s="37">
        <f>E4*(1+F5)</f>
        <v/>
      </c>
      <c r="G4" s="37">
        <f>F4*(1+G5)</f>
        <v/>
      </c>
      <c r="H4" s="37">
        <f>G4*(1+H5)</f>
        <v/>
      </c>
      <c r="I4" s="37">
        <f>H4*(1+I5)</f>
        <v/>
      </c>
      <c r="J4" s="37">
        <f>I4*(1+J5)</f>
        <v/>
      </c>
      <c r="K4" s="37">
        <f>J4*(1+K5)</f>
        <v/>
      </c>
      <c r="L4" s="37">
        <f>K4*(1+L5)</f>
        <v/>
      </c>
    </row>
    <row r="5">
      <c r="A5" s="16" t="inlineStr">
        <is>
          <t>GPR Growth (%)</t>
        </is>
      </c>
      <c r="B5" s="17" t="n">
        <v>0</v>
      </c>
      <c r="C5" s="17">
        <f>DATA!B5</f>
        <v/>
      </c>
      <c r="D5" s="17">
        <f>DATA!B5</f>
        <v/>
      </c>
      <c r="E5" s="17">
        <f>DATA!B5</f>
        <v/>
      </c>
      <c r="F5" s="17">
        <f>DATA!B5</f>
        <v/>
      </c>
      <c r="G5" s="17">
        <f>DATA!B5</f>
        <v/>
      </c>
      <c r="H5" s="17">
        <f>DATA!B5</f>
        <v/>
      </c>
      <c r="I5" s="17">
        <f>DATA!B5</f>
        <v/>
      </c>
      <c r="J5" s="17">
        <f>DATA!B5</f>
        <v/>
      </c>
      <c r="K5" s="17">
        <f>DATA!B5</f>
        <v/>
      </c>
      <c r="L5" s="17">
        <f>DATA!B5</f>
        <v/>
      </c>
    </row>
    <row r="6">
      <c r="A6" s="16" t="inlineStr">
        <is>
          <t>Vacancy Rate</t>
        </is>
      </c>
      <c r="B6" s="17" t="n">
        <v>1</v>
      </c>
      <c r="C6" s="17" t="n">
        <v>1</v>
      </c>
      <c r="D6" s="17" t="n">
        <v>0.55</v>
      </c>
      <c r="E6" s="17" t="n">
        <v>0.1</v>
      </c>
      <c r="F6" s="17" t="n">
        <v>0.1</v>
      </c>
      <c r="G6" s="17" t="n">
        <v>0.1</v>
      </c>
      <c r="H6" s="17" t="n">
        <v>0.1</v>
      </c>
      <c r="I6" s="17" t="n">
        <v>0.1</v>
      </c>
      <c r="J6" s="17" t="n">
        <v>0.1</v>
      </c>
      <c r="K6" s="17" t="n">
        <v>0.1</v>
      </c>
      <c r="L6" s="17" t="n">
        <v>0.1</v>
      </c>
    </row>
    <row r="7">
      <c r="A7" s="18" t="inlineStr">
        <is>
          <t>Occupancy Rate (%)</t>
        </is>
      </c>
      <c r="B7" s="19">
        <f>1-B6</f>
        <v/>
      </c>
      <c r="C7" s="19">
        <f>1-C6</f>
        <v/>
      </c>
      <c r="D7" s="19">
        <f>1-D6</f>
        <v/>
      </c>
      <c r="E7" s="19">
        <f>1-E6</f>
        <v/>
      </c>
      <c r="F7" s="19">
        <f>1-F6</f>
        <v/>
      </c>
      <c r="G7" s="19">
        <f>1-G6</f>
        <v/>
      </c>
      <c r="H7" s="19">
        <f>1-H6</f>
        <v/>
      </c>
      <c r="I7" s="19">
        <f>1-I6</f>
        <v/>
      </c>
      <c r="J7" s="19">
        <f>1-J6</f>
        <v/>
      </c>
      <c r="K7" s="19">
        <f>1-K6</f>
        <v/>
      </c>
      <c r="L7" s="19">
        <f>1-L6</f>
        <v/>
      </c>
    </row>
    <row r="8">
      <c r="A8" s="20" t="inlineStr">
        <is>
          <t>Gross Potential Rent (less Vacancy)</t>
        </is>
      </c>
      <c r="B8" s="38">
        <f>B4-(B4*B6)</f>
        <v/>
      </c>
      <c r="C8" s="38">
        <f>C4-(C4*C6)</f>
        <v/>
      </c>
      <c r="D8" s="38">
        <f>D4-(D4*D6)</f>
        <v/>
      </c>
      <c r="E8" s="39">
        <f>E4-(E4*E6)</f>
        <v/>
      </c>
      <c r="F8" s="38">
        <f>F4-(F4*F6)</f>
        <v/>
      </c>
      <c r="G8" s="39">
        <f>G4-(G4*G6)</f>
        <v/>
      </c>
      <c r="H8" s="38">
        <f>H4-(H4*H6)</f>
        <v/>
      </c>
      <c r="I8" s="39">
        <f>I4-(I4*I6)</f>
        <v/>
      </c>
      <c r="J8" s="38">
        <f>J4-(J4*J6)</f>
        <v/>
      </c>
      <c r="K8" s="39">
        <f>K4-(K4*K6)</f>
        <v/>
      </c>
      <c r="L8" s="38">
        <f>L4-(L4*L6)</f>
        <v/>
      </c>
    </row>
    <row r="9">
      <c r="A9" s="16" t="inlineStr">
        <is>
          <t>Discount Rate (%)</t>
        </is>
      </c>
      <c r="B9" s="17" t="n">
        <v>0</v>
      </c>
      <c r="C9" s="17" t="n">
        <v>0.2</v>
      </c>
      <c r="D9" s="17" t="n">
        <v>0.1</v>
      </c>
      <c r="E9" s="17" t="n">
        <v>0.05</v>
      </c>
      <c r="F9" s="17" t="n">
        <v>0.05</v>
      </c>
      <c r="G9" s="17" t="n">
        <v>0.05</v>
      </c>
      <c r="H9" s="17" t="n">
        <v>0.05</v>
      </c>
      <c r="I9" s="17" t="n">
        <v>0.05</v>
      </c>
      <c r="J9" s="17" t="n">
        <v>0.05</v>
      </c>
      <c r="K9" s="17" t="n">
        <v>0.05</v>
      </c>
      <c r="L9" s="17" t="n">
        <v>0.05</v>
      </c>
    </row>
    <row r="10">
      <c r="A10" s="20" t="inlineStr">
        <is>
          <t>Net Effective Rent</t>
        </is>
      </c>
      <c r="B10" s="40">
        <f>B8/(1+B9)^B3</f>
        <v/>
      </c>
      <c r="C10" s="40">
        <f>C8/(1+C9)^C3</f>
        <v/>
      </c>
      <c r="D10" s="38">
        <f>D8/(1+D9)^D3</f>
        <v/>
      </c>
      <c r="E10" s="38">
        <f>E8/(1+E9)^E3</f>
        <v/>
      </c>
      <c r="F10" s="38">
        <f>F8/(1+F9)^F3</f>
        <v/>
      </c>
      <c r="G10" s="38">
        <f>G8/(1+G9)^G3</f>
        <v/>
      </c>
      <c r="H10" s="38">
        <f>H8/(1+H9)^H3</f>
        <v/>
      </c>
      <c r="I10" s="38">
        <f>I8/(1+I9)^I3</f>
        <v/>
      </c>
      <c r="J10" s="38">
        <f>J8/(1+J9)^J3</f>
        <v/>
      </c>
      <c r="K10" s="38">
        <f>K8/(1+K9)^K3</f>
        <v/>
      </c>
      <c r="L10" s="38">
        <f>L8/(1+L9)^L3</f>
        <v/>
      </c>
    </row>
    <row r="11">
      <c r="A11" s="16" t="inlineStr">
        <is>
          <t>Other Income</t>
        </is>
      </c>
      <c r="B11" s="41">
        <f>B10*DATA!B10</f>
        <v/>
      </c>
      <c r="C11" s="41">
        <f>C10*DATA!B10</f>
        <v/>
      </c>
      <c r="D11" s="41">
        <f>D10*DATA!B10</f>
        <v/>
      </c>
      <c r="E11" s="41">
        <f>E10*DATA!B10</f>
        <v/>
      </c>
      <c r="F11" s="41">
        <f>F10*DATA!B10</f>
        <v/>
      </c>
      <c r="G11" s="41">
        <f>G10*DATA!B10</f>
        <v/>
      </c>
      <c r="H11" s="41">
        <f>H10*DATA!B10</f>
        <v/>
      </c>
      <c r="I11" s="41">
        <f>I10*DATA!B10</f>
        <v/>
      </c>
      <c r="J11" s="41">
        <f>J10*DATA!B10</f>
        <v/>
      </c>
      <c r="K11" s="41">
        <f>K10*DATA!B10</f>
        <v/>
      </c>
      <c r="L11" s="41">
        <f>L10*DATA!B10</f>
        <v/>
      </c>
    </row>
    <row r="12">
      <c r="A12" s="25" t="inlineStr">
        <is>
          <t>Total Revenue (Annualised)</t>
        </is>
      </c>
      <c r="B12" s="42">
        <f>SUM(B10+B11)</f>
        <v/>
      </c>
      <c r="C12" s="42">
        <f>SUM(C10+C11)</f>
        <v/>
      </c>
      <c r="D12" s="42">
        <f>SUM(D10+D11)</f>
        <v/>
      </c>
      <c r="E12" s="42">
        <f>SUM(E10+E11)</f>
        <v/>
      </c>
      <c r="F12" s="42">
        <f>SUM(F10+F11)</f>
        <v/>
      </c>
      <c r="G12" s="42">
        <f>SUM(G10+G11)</f>
        <v/>
      </c>
      <c r="H12" s="42">
        <f>SUM(H10+H11)</f>
        <v/>
      </c>
      <c r="I12" s="42">
        <f>SUM(I10+I11)</f>
        <v/>
      </c>
      <c r="J12" s="42">
        <f>SUM(J10+J11)</f>
        <v/>
      </c>
      <c r="K12" s="42">
        <f>SUM(K10+K11)</f>
        <v/>
      </c>
      <c r="L12" s="42">
        <f>SUM(L10+L11)</f>
        <v/>
      </c>
    </row>
    <row r="13" ht="18" customHeight="1">
      <c r="A13" s="27" t="inlineStr">
        <is>
          <t>EXPENSES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9" t="inlineStr">
        <is>
          <t>Regional</t>
        </is>
      </c>
    </row>
    <row r="15">
      <c r="A15" s="16" t="inlineStr">
        <is>
          <t>Advertising &amp; Marketing</t>
        </is>
      </c>
      <c r="C15" s="35" t="n">
        <v>3.44</v>
      </c>
      <c r="D15" s="35" t="n">
        <v>3.17</v>
      </c>
      <c r="E15" s="35" t="n">
        <v>4.28</v>
      </c>
      <c r="F15" s="35" t="n">
        <v>4.29</v>
      </c>
      <c r="G15" s="35" t="n">
        <v>0.88</v>
      </c>
      <c r="H15" s="35" t="n"/>
      <c r="I15" s="35" t="n"/>
      <c r="J15" s="35" t="n"/>
      <c r="K15" s="35" t="n"/>
      <c r="L15" s="35" t="n"/>
    </row>
    <row r="16">
      <c r="A16" s="16" t="inlineStr">
        <is>
          <t>Electricity</t>
        </is>
      </c>
      <c r="C16" s="35" t="n">
        <v>1.24</v>
      </c>
      <c r="D16" s="35" t="n">
        <v>1.8</v>
      </c>
      <c r="E16" s="35" t="n">
        <v>1.78</v>
      </c>
      <c r="F16" s="35" t="n">
        <v>1.4</v>
      </c>
      <c r="G16" s="35" t="n">
        <v>1.72</v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G20" sqref="G20"/>
    </sheetView>
  </sheetViews>
  <sheetFormatPr baseColWidth="8" defaultColWidth="8.640625" defaultRowHeight="14.15"/>
  <cols>
    <col width="8.640625" customWidth="1" style="1" min="1" max="1"/>
    <col width="21.140625" customWidth="1" style="1" min="2" max="2"/>
    <col width="8.640625" customWidth="1" style="1" min="3" max="8"/>
    <col width="21.140625" customWidth="1" style="1" min="9" max="9"/>
    <col width="8.640625" customWidth="1" style="1" min="10" max="16384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>
      <c r="A6" s="1" t="inlineStr">
        <is>
          <t>Regional</t>
        </is>
      </c>
      <c r="B6" s="1" t="inlineStr">
        <is>
          <t>Land Tax</t>
        </is>
      </c>
    </row>
    <row r="7">
      <c r="A7" s="1" t="inlineStr">
        <is>
          <t>Regional</t>
        </is>
      </c>
      <c r="B7" s="1" t="inlineStr">
        <is>
          <t>Printing &amp; Postage</t>
        </is>
      </c>
    </row>
    <row r="8">
      <c r="A8" s="1" t="inlineStr">
        <is>
          <t>Regional</t>
        </is>
      </c>
      <c r="B8" s="1" t="inlineStr">
        <is>
          <t>Rates</t>
        </is>
      </c>
    </row>
    <row r="9">
      <c r="A9" s="1" t="inlineStr">
        <is>
          <t>Regional</t>
        </is>
      </c>
      <c r="B9" s="1" t="inlineStr">
        <is>
          <t>R&amp;M</t>
        </is>
      </c>
    </row>
    <row r="10">
      <c r="A10" s="1" t="inlineStr">
        <is>
          <t>Regional</t>
        </is>
      </c>
      <c r="B10" s="1" t="inlineStr">
        <is>
          <t>Salaries &amp; Wages</t>
        </is>
      </c>
    </row>
    <row r="11">
      <c r="A11" s="1" t="inlineStr">
        <is>
          <t>Regional</t>
        </is>
      </c>
      <c r="B11" s="1" t="inlineStr">
        <is>
          <t>Telco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</row>
    <row r="13">
      <c r="A13" s="1" t="inlineStr">
        <is>
          <t>Metro</t>
        </is>
      </c>
      <c r="B13" s="1" t="inlineStr">
        <is>
          <t>Electricity</t>
        </is>
      </c>
    </row>
    <row r="14">
      <c r="A14" s="1" t="inlineStr">
        <is>
          <t>Metro</t>
        </is>
      </c>
      <c r="B14" s="1" t="inlineStr">
        <is>
          <t>Insurance</t>
        </is>
      </c>
    </row>
    <row r="15">
      <c r="A15" s="1" t="inlineStr">
        <is>
          <t>Metro</t>
        </is>
      </c>
      <c r="B15" s="1" t="inlineStr">
        <is>
          <t>Land Tax</t>
        </is>
      </c>
    </row>
    <row r="16">
      <c r="A16" s="1" t="inlineStr">
        <is>
          <t>Metro</t>
        </is>
      </c>
      <c r="B16" s="1" t="inlineStr">
        <is>
          <t>Printing &amp; Postage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</row>
    <row r="19">
      <c r="A19" s="1" t="inlineStr">
        <is>
          <t>Metro</t>
        </is>
      </c>
      <c r="B19" s="1" t="inlineStr">
        <is>
          <t>Salaries &amp; Wages</t>
        </is>
      </c>
    </row>
    <row r="20">
      <c r="A20" s="1" t="inlineStr">
        <is>
          <t>Metro</t>
        </is>
      </c>
      <c r="B20" s="1" t="inlineStr">
        <is>
          <t>Telco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2:G38"/>
  <sheetViews>
    <sheetView workbookViewId="0">
      <selection activeCell="F38" sqref="F38"/>
    </sheetView>
  </sheetViews>
  <sheetFormatPr baseColWidth="8" defaultColWidth="8.640625" defaultRowHeight="14.15"/>
  <cols>
    <col width="22" customWidth="1" style="1" min="1" max="1"/>
    <col width="11.85546875" customWidth="1" style="1" min="2" max="2"/>
    <col width="12.35546875" customWidth="1" style="1" min="3" max="6"/>
    <col width="8.640625" customWidth="1" style="1" min="7" max="16384"/>
  </cols>
  <sheetData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ht="42.45" customHeight="1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Zach Smith</dc:creator>
  <dcterms:created xmlns:dcterms="http://purl.org/dc/terms/" xmlns:xsi="http://www.w3.org/2001/XMLSchema-instance" xsi:type="dcterms:W3CDTF">2021-07-27T07:57:00Z</dcterms:created>
  <dcterms:modified xmlns:dcterms="http://purl.org/dc/terms/" xmlns:xsi="http://www.w3.org/2001/XMLSchema-instance" xsi:type="dcterms:W3CDTF">2026-09-06T05:26:31Z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9A68B28BA45A4BA08B900DDAA2CC8410_13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