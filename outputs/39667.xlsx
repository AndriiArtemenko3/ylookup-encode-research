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Pay Item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Arial"/>
      <family val="2"/>
      <color rgb="FF0A0101"/>
      <sz val="11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3" fontId="0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3" fontId="0" fillId="2" borderId="0" pivotButton="0" quotePrefix="0" xfId="0"/>
    <xf numFmtId="14" fontId="1" fillId="0" borderId="0" applyAlignment="1" pivotButton="0" quotePrefix="0" xfId="0">
      <alignment horizontal="center" vertical="center"/>
    </xf>
    <xf numFmtId="4" fontId="0" fillId="0" borderId="0" pivotButton="0" quotePrefix="0" xfId="0"/>
    <xf numFmtId="14" fontId="0" fillId="0" borderId="0" pivotButton="0" quotePrefix="0" xfId="0"/>
    <xf numFmtId="0" fontId="4" fillId="0" borderId="0" pivotButton="0" quotePrefix="0" xfId="0"/>
  </cellXfs>
  <cellStyles count="1">
    <cellStyle name="常规" xfId="0" builtinId="0"/>
  </cellStyles>
  <dxfs count="14">
    <dxf>
      <font>
        <color rgb="FF006100"/>
      </font>
      <fill>
        <patternFill>
          <bgColor rgb="FFC6EFCE"/>
        </patternFill>
      </fill>
    </dxf>
    <dxf>
      <numFmt numFmtId="176" formatCode="m/d/yyyy"/>
    </dxf>
    <dxf>
      <numFmt numFmtId="4" formatCode="#,##0.00"/>
    </dxf>
    <dxf>
      <numFmt numFmtId="4" formatCode="#,##0.00"/>
    </dxf>
    <dxf>
      <numFmt numFmtId="0" formatCode="General"/>
    </dxf>
    <dxf>
      <border outline="0">
        <top style="medium">
          <color indexed="64"/>
        </top>
      </border>
    </dxf>
    <dxf>
      <font>
        <name val="Calibri"/>
        <family val="2"/>
        <b val="1"/>
        <strike val="0"/>
        <outline val="0"/>
        <shadow val="0"/>
        <color theme="1"/>
        <sz val="11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fill>
        <patternFill>
          <fgColor indexed="64"/>
          <bgColor indexed="65"/>
        </patternFill>
      </fill>
    </dxf>
    <dxf>
      <font>
        <name val="Arial"/>
        <family val="2"/>
        <strike val="0"/>
        <outline val="0"/>
        <shadow val="0"/>
        <condense val="0"/>
        <color rgb="FF0A0101"/>
        <extend val="0"/>
        <sz val="11"/>
        <vertAlign val="baseline"/>
      </font>
      <numFmt numFmtId="0" formatCode="General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b val="1"/>
        <strike val="0"/>
        <outline val="0"/>
        <shadow val="0"/>
        <color theme="1"/>
        <sz val="11"/>
        <vertAlign val="baseline"/>
        <scheme val="minor"/>
      </font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3" displayName="Table3" ref="A2:G17" headerRowCount="1" totalsRowShown="0" headerRowDxfId="13">
  <autoFilter ref="A2:G17"/>
  <tableColumns count="7">
    <tableColumn id="1" name="Pay Item Number" dataDxfId="12"/>
    <tableColumn id="3" name="UOM" dataDxfId="11"/>
    <tableColumn id="4" name="Description" dataDxfId="10"/>
    <tableColumn id="5" name="Running Total" dataDxfId="9">
      <calculatedColumnFormula>SUMIF(Table2[Description],C3,Table2[Quantity Installed])</calculatedColumnFormula>
    </tableColumn>
    <tableColumn id="6" name="Forecasted Qty" dataDxfId="8"/>
    <tableColumn id="7" name="Pay Qty" dataDxfId="7"/>
    <tableColumn id="8" name="∆ Forecast vs. Field Measured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H26" headerRowCount="1" totalsRowShown="0" headerRowDxfId="6" tableBorderDxfId="5">
  <autoFilter ref="A19:H26"/>
  <tableColumns count="8">
    <tableColumn id="1" name="Pay Item Number" dataDxfId="4"/>
    <tableColumn id="3" name="UOM" dataDxfId="3"/>
    <tableColumn id="4" name="Description"/>
    <tableColumn id="5" name="Quantity Installed" dataDxfId="2"/>
    <tableColumn id="6" name="Date Installed" dataDxfId="1"/>
    <tableColumn id="7" name="Details/Location"/>
    <tableColumn id="8" name="Complete?"/>
    <tableColumn id="9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H26"/>
  <sheetViews>
    <sheetView tabSelected="1" workbookViewId="0">
      <selection activeCell="C20" sqref="C20:C21"/>
    </sheetView>
  </sheetViews>
  <sheetFormatPr baseColWidth="8" defaultColWidth="0" defaultRowHeight="14.15" zeroHeight="1"/>
  <cols>
    <col width="30.28515625" bestFit="1" customWidth="1" min="1" max="1"/>
    <col width="9.92578125" bestFit="1" customWidth="1" style="8" min="2" max="2"/>
    <col width="56.28515625" bestFit="1" customWidth="1" min="3" max="3"/>
    <col width="20.7109375" bestFit="1" customWidth="1" style="8" min="4" max="4"/>
    <col width="18.28515625" bestFit="1" customWidth="1" style="9" min="5" max="5"/>
    <col width="19.35546875" bestFit="1" customWidth="1" min="6" max="6"/>
    <col width="31.0703125" bestFit="1" customWidth="1" min="7" max="7"/>
    <col width="10.42578125" bestFit="1" customWidth="1" min="8" max="8"/>
    <col width="36.35546875" customWidth="1" min="9" max="9"/>
  </cols>
  <sheetData>
    <row r="1"/>
    <row r="2">
      <c r="A2" s="1" t="inlineStr">
        <is>
          <t>Pay Item Number</t>
        </is>
      </c>
      <c r="B2" s="1" t="inlineStr">
        <is>
          <t>UOM</t>
        </is>
      </c>
      <c r="C2" s="1" t="inlineStr">
        <is>
          <t>Description</t>
        </is>
      </c>
      <c r="D2" s="1" t="inlineStr">
        <is>
          <t>Running Total</t>
        </is>
      </c>
      <c r="E2" s="1" t="inlineStr">
        <is>
          <t>Forecasted Qty</t>
        </is>
      </c>
      <c r="F2" s="1" t="inlineStr">
        <is>
          <t>Pay Qty</t>
        </is>
      </c>
      <c r="G2" s="1" t="inlineStr">
        <is>
          <t>∆ Forecast vs. Field Measured</t>
        </is>
      </c>
    </row>
    <row r="3">
      <c r="A3" t="n">
        <v>1</v>
      </c>
      <c r="B3" t="inlineStr">
        <is>
          <t>EA</t>
        </is>
      </c>
      <c r="C3" t="inlineStr">
        <is>
          <t>CONCRETE WASHOUT STRUCTURE</t>
        </is>
      </c>
      <c r="D3" s="2">
        <f>SUMIF(Table2[Description],C3,Table2[Quantity Installed])</f>
        <v/>
      </c>
      <c r="E3" s="3" t="n"/>
      <c r="F3" s="3" t="n"/>
    </row>
    <row r="4">
      <c r="A4" t="n">
        <v>2</v>
      </c>
      <c r="B4" t="inlineStr">
        <is>
          <t>EA</t>
        </is>
      </c>
      <c r="C4" t="inlineStr">
        <is>
          <t>BRIDGE DRAIN</t>
        </is>
      </c>
      <c r="D4" s="2">
        <f>SUMIF(Table2[Description],C4,Table2[Quantity Installed])</f>
        <v/>
      </c>
      <c r="E4" s="3" t="n"/>
      <c r="F4" s="3" t="n"/>
    </row>
    <row r="5">
      <c r="A5" t="n">
        <v>3</v>
      </c>
      <c r="B5" t="inlineStr">
        <is>
          <t>LF</t>
        </is>
      </c>
      <c r="C5" t="inlineStr">
        <is>
          <t>PIPE RAILING (BOX) (On Wall 5 &amp; WW on 8x8 Box &amp; WW 5x6 Box)</t>
        </is>
      </c>
      <c r="D5" s="2">
        <f>SUMIF(Table2[Description],C5,Table2[Quantity Installed])</f>
        <v/>
      </c>
      <c r="E5" s="3" t="n"/>
      <c r="F5" s="3" t="n"/>
    </row>
    <row r="6">
      <c r="A6" t="n">
        <v>4</v>
      </c>
      <c r="B6" t="inlineStr">
        <is>
          <t>LF</t>
        </is>
      </c>
      <c r="C6" t="inlineStr">
        <is>
          <t>PEDESTRIAN RAILING (SPECIAL)</t>
        </is>
      </c>
      <c r="D6" s="2">
        <f>SUMIF(Table2[Description],C6,Table2[Quantity Installed])</f>
        <v/>
      </c>
      <c r="E6" s="3" t="n"/>
      <c r="F6" s="3" t="n"/>
    </row>
    <row r="7">
      <c r="A7" t="n">
        <v>5</v>
      </c>
      <c r="B7" t="inlineStr">
        <is>
          <t>SY</t>
        </is>
      </c>
      <c r="C7" t="inlineStr">
        <is>
          <t>WATERPROOFING (MEMBRANE)</t>
        </is>
      </c>
      <c r="D7" s="2">
        <f>SUMIF(Table2[Description],C7,Table2[Quantity Installed])</f>
        <v/>
      </c>
      <c r="E7" s="3" t="n"/>
      <c r="F7" s="3" t="n"/>
    </row>
    <row r="8">
      <c r="A8" t="n">
        <v>6</v>
      </c>
      <c r="B8" t="inlineStr">
        <is>
          <t>SY</t>
        </is>
      </c>
      <c r="C8" t="inlineStr">
        <is>
          <t>CONCRETE SEALER</t>
        </is>
      </c>
      <c r="D8" s="2">
        <f>SUMIF(Table2[Description],C8,Table2[Quantity Installed])</f>
        <v/>
      </c>
      <c r="E8" s="3" t="n"/>
      <c r="F8" s="3" t="n"/>
    </row>
    <row r="9">
      <c r="A9" t="n">
        <v>7</v>
      </c>
      <c r="B9" t="inlineStr">
        <is>
          <t>LF</t>
        </is>
      </c>
      <c r="C9" t="inlineStr">
        <is>
          <t>BRIDGE EXPANSION DEVICE (0-4 INCH)</t>
        </is>
      </c>
      <c r="D9" s="2">
        <f>SUMIF(Table2[Description],C9,Table2[Quantity Installed])</f>
        <v/>
      </c>
      <c r="E9" s="3" t="n"/>
      <c r="F9" s="3" t="n"/>
    </row>
    <row r="10">
      <c r="A10" t="n">
        <v>8</v>
      </c>
      <c r="B10" t="inlineStr">
        <is>
          <t>CY</t>
        </is>
      </c>
      <c r="C10" t="inlineStr">
        <is>
          <t>CONCRETE CLASS D</t>
        </is>
      </c>
      <c r="D10" s="2">
        <f>SUMIF(Table2[Description],C10,Table2[Quantity Installed])</f>
        <v/>
      </c>
      <c r="E10" s="3" t="n"/>
      <c r="F10" s="3" t="n"/>
    </row>
    <row r="11">
      <c r="A11" t="n">
        <v>9</v>
      </c>
      <c r="B11" t="inlineStr">
        <is>
          <t>CY</t>
        </is>
      </c>
      <c r="C11" t="inlineStr">
        <is>
          <t>CONCRETE CLASS D (BRIDGE)</t>
        </is>
      </c>
      <c r="D11" s="2">
        <f>SUMIF(Table2[Description],C11,Table2[Quantity Installed])</f>
        <v/>
      </c>
      <c r="E11" s="3" t="n"/>
      <c r="F11" s="3" t="n"/>
    </row>
    <row r="12">
      <c r="A12" t="n">
        <v>10</v>
      </c>
      <c r="B12" t="inlineStr">
        <is>
          <t>LB</t>
        </is>
      </c>
      <c r="C12" t="inlineStr">
        <is>
          <t>REINFORCING STEEL</t>
        </is>
      </c>
      <c r="D12" s="2">
        <f>SUMIF(Table2[Description],C12,Table2[Quantity Installed])</f>
        <v/>
      </c>
      <c r="E12" s="3" t="n"/>
      <c r="F12" s="3" t="n"/>
    </row>
    <row r="13">
      <c r="A13" t="n">
        <v>11</v>
      </c>
      <c r="B13" t="inlineStr">
        <is>
          <t>LB</t>
        </is>
      </c>
      <c r="C13" t="inlineStr">
        <is>
          <t>REINFORCING STEEL (EPOXY COATED)</t>
        </is>
      </c>
      <c r="D13" s="2">
        <f>SUMIF(Table2[Description],C13,Table2[Quantity Installed])</f>
        <v/>
      </c>
      <c r="E13" s="3" t="n"/>
      <c r="F13" s="3" t="n"/>
    </row>
    <row r="14">
      <c r="A14" t="n">
        <v>12</v>
      </c>
      <c r="B14" t="inlineStr">
        <is>
          <t>LF</t>
        </is>
      </c>
      <c r="C14" t="inlineStr">
        <is>
          <t>GUARDRAIL TYPE 9 (STYLE CA)</t>
        </is>
      </c>
      <c r="D14" s="2">
        <f>SUMIF(Table2[Description],C14,Table2[Quantity Installed])</f>
        <v/>
      </c>
      <c r="E14" s="3" t="n"/>
      <c r="F14" s="3" t="n"/>
    </row>
    <row r="15">
      <c r="A15" t="n">
        <v>13</v>
      </c>
      <c r="B15" t="inlineStr">
        <is>
          <t>EA</t>
        </is>
      </c>
      <c r="C15" t="inlineStr">
        <is>
          <t>TRANSITION TYPE BR9-GR9</t>
        </is>
      </c>
      <c r="D15" s="2">
        <f>SUMIF(Table2[Description],C15,Table2[Quantity Installed])</f>
        <v/>
      </c>
      <c r="E15" s="3" t="n"/>
      <c r="F15" s="3" t="n"/>
    </row>
    <row r="16">
      <c r="A16" t="n">
        <v>14</v>
      </c>
      <c r="B16" t="inlineStr">
        <is>
          <t>LF</t>
        </is>
      </c>
      <c r="C16" t="inlineStr">
        <is>
          <t>BRIDGE RAIL TYPE 9</t>
        </is>
      </c>
      <c r="D16" s="2">
        <f>SUMIF(Table2[Description],C16,Table2[Quantity Installed])</f>
        <v/>
      </c>
      <c r="E16" s="3" t="n"/>
      <c r="F16" s="3" t="n"/>
    </row>
    <row r="17">
      <c r="A17" t="n">
        <v>15</v>
      </c>
      <c r="B17" t="inlineStr">
        <is>
          <t>LF</t>
        </is>
      </c>
      <c r="C17" t="inlineStr">
        <is>
          <t>PRESTRESSED CONCRETE I (CBT 72)</t>
        </is>
      </c>
      <c r="D17" s="2">
        <f>SUMIF(Table2[Description],C17,Table2[Quantity Installed])</f>
        <v/>
      </c>
      <c r="E17" s="3" t="n"/>
      <c r="F17" s="3" t="n"/>
    </row>
    <row r="18" ht="10.5" customFormat="1" customHeight="1" s="4">
      <c r="E18" s="5" t="n"/>
      <c r="F18" s="6" t="n"/>
      <c r="G18" s="6" t="n"/>
    </row>
    <row r="19">
      <c r="A19" s="1" t="inlineStr">
        <is>
          <t>Pay Item Number</t>
        </is>
      </c>
      <c r="B19" s="1" t="inlineStr">
        <is>
          <t>UOM</t>
        </is>
      </c>
      <c r="C19" s="1" t="inlineStr">
        <is>
          <t>Description</t>
        </is>
      </c>
      <c r="D19" s="1" t="inlineStr">
        <is>
          <t>Quantity Installed</t>
        </is>
      </c>
      <c r="E19" s="7" t="inlineStr">
        <is>
          <t>Date Installed</t>
        </is>
      </c>
      <c r="F19" s="1" t="inlineStr">
        <is>
          <t>Details/Location</t>
        </is>
      </c>
      <c r="G19" s="1" t="inlineStr">
        <is>
          <t>Complete?</t>
        </is>
      </c>
      <c r="H19" s="1" t="inlineStr">
        <is>
          <t>Notes</t>
        </is>
      </c>
    </row>
    <row r="20">
      <c r="A20" t="n">
        <v>12</v>
      </c>
      <c r="C20" s="10" t="inlineStr">
        <is>
          <t>GUARDRAIL TYPE 9 (STYLE CA)</t>
        </is>
      </c>
    </row>
    <row r="21">
      <c r="A21" t="n">
        <v>10</v>
      </c>
      <c r="C21" t="inlineStr">
        <is>
          <t>REINFORCING STEEL</t>
        </is>
      </c>
    </row>
    <row r="22">
      <c r="A22" t="inlineStr"/>
    </row>
    <row r="23">
      <c r="A23" t="inlineStr"/>
    </row>
    <row r="24">
      <c r="A24" t="inlineStr"/>
    </row>
    <row r="25">
      <c r="A25" t="inlineStr"/>
    </row>
    <row r="26">
      <c r="A26" t="inlineStr"/>
    </row>
  </sheetData>
  <conditionalFormatting sqref="G20:G1048576">
    <cfRule type="containsText" priority="1" operator="containsText" dxfId="0" text="Yes">
      <formula>NOT(ISERROR(SEARCH("Yes",G20)))</formula>
    </cfRule>
  </conditionalFormatting>
  <pageMargins left="0.7" right="0.7" top="0.75" bottom="0.75" header="0.3" footer="0.3"/>
  <pageSetup orientation="portrait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Jake.Wilson</dc:creator>
  <dcterms:created xmlns:dcterms="http://purl.org/dc/terms/" xmlns:xsi="http://www.w3.org/2001/XMLSchema-instance" xsi:type="dcterms:W3CDTF">2022-12-13T18:27:38Z</dcterms:created>
  <dcterms:modified xmlns:dcterms="http://purl.org/dc/terms/" xmlns:xsi="http://www.w3.org/2001/XMLSchema-instance" xsi:type="dcterms:W3CDTF">2026-09-06T05:09:38Z</dcterms:modified>
  <cp:lastModifiedBy>bohan zhang</cp:lastModifiedBy>
</cp:coreProperties>
</file>