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240" windowWidth="28800" windowHeight="14100" tabRatio="600" firstSheet="0" activeTab="0" autoFilterDateGrouping="1"/>
  </bookViews>
  <sheets>
    <sheet xmlns:r="http://schemas.openxmlformats.org/officeDocument/2006/relationships" name="Exp-DB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pr">'[1]Cal 2021'!$AB$1</definedName>
    <definedName name="aug">'[1]Cal 2021'!$AB$10</definedName>
    <definedName name="Category">[1]Expenses!$D:$D</definedName>
    <definedName name="cats">'Exp-DB'!$B:$B</definedName>
    <definedName name="dec">'[1]Cal 2021'!$AB$19</definedName>
    <definedName name="Ent">[2]Jan!$K$21:$K$27</definedName>
    <definedName name="exDB">'Exp-DB'!$A:$A</definedName>
    <definedName name="Expenses">[1]Expenses!$F:$F</definedName>
    <definedName name="feb">'[1]Cal 2021'!$J$1</definedName>
    <definedName name="income">[1]Expenses!$E:$E</definedName>
    <definedName name="jan">'[1]Cal 2021'!$A$1</definedName>
    <definedName name="jul">'[1]Cal 2021'!$S$10</definedName>
    <definedName name="jun">'[1]Cal 2021'!$J$10</definedName>
    <definedName name="mar">'[1]Cal 2021'!$S$1</definedName>
    <definedName name="may">'[1]Cal 2021'!$A$10</definedName>
    <definedName name="Mon">[1]Expenses!$A:$A</definedName>
    <definedName name="nov">'[1]Cal 2021'!$S$19</definedName>
    <definedName name="oct">'[1]Cal 2021'!$J$19</definedName>
    <definedName name="sep">'[1]Cal 2021'!$A$19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1C1D1E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1"/>
    <xf numFmtId="0" fontId="0" fillId="0" borderId="0" pivotButton="0" quotePrefix="0" xfId="0"/>
    <xf numFmtId="0" fontId="0" fillId="0" borderId="0" pivotButton="0" quotePrefix="0" xfId="1"/>
  </cellXfs>
  <cellStyles count="2">
    <cellStyle name="Normal" xfId="0" builtinId="0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FF9999"/>
      </font>
      <fill>
        <patternFill>
          <fgColor indexed="64"/>
          <bgColor rgb="FFFFE1E1"/>
        </patternFill>
      </fill>
    </dxf>
    <dxf>
      <font>
        <b val="1"/>
        <color rgb="FFFFC000"/>
      </font>
      <fill>
        <patternFill>
          <fgColor indexed="64"/>
          <bgColor rgb="FFFFF2CC"/>
        </patternFill>
      </fill>
    </dxf>
    <dxf>
      <font>
        <b val="1"/>
        <color rgb="FFFF3399"/>
      </font>
      <fill>
        <patternFill>
          <fgColor indexed="64"/>
          <bgColor rgb="FFFFEBF5"/>
        </patternFill>
      </fill>
    </dxf>
    <dxf>
      <font>
        <b val="1"/>
        <color rgb="FFCC66FF"/>
      </font>
      <fill>
        <patternFill>
          <fgColor indexed="64"/>
          <bgColor rgb="FFFFE5FF"/>
        </patternFill>
      </fill>
    </dxf>
    <dxf>
      <font>
        <b val="1"/>
        <color rgb="FF0070C0"/>
      </font>
      <fill>
        <patternFill>
          <fgColor indexed="64"/>
          <bgColor rgb="FFD9E1F2"/>
        </patternFill>
      </fill>
    </dxf>
    <dxf>
      <font>
        <b val="1"/>
        <color rgb="FF00B050"/>
      </font>
      <fill>
        <patternFill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1%20planner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egan/Desktop/planner%20v5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</v>
          </cell>
          <cell r="D1" t="str">
            <v>Category</v>
          </cell>
          <cell r="E1" t="str">
            <v>Income</v>
          </cell>
          <cell r="F1" t="str">
            <v>Expenses</v>
          </cell>
        </row>
        <row r="2">
          <cell r="A2">
            <v>12</v>
          </cell>
          <cell r="D2" t="str">
            <v>divs</v>
          </cell>
          <cell r="E2">
            <v>0.15</v>
          </cell>
        </row>
        <row r="3">
          <cell r="A3">
            <v>1</v>
          </cell>
          <cell r="D3" t="str">
            <v>mortgage</v>
          </cell>
          <cell r="F3">
            <v>2968.79</v>
          </cell>
        </row>
        <row r="4">
          <cell r="A4">
            <v>1</v>
          </cell>
          <cell r="D4" t="str">
            <v>Credit Cards</v>
          </cell>
          <cell r="F4">
            <v>500</v>
          </cell>
        </row>
        <row r="5">
          <cell r="A5">
            <v>1</v>
          </cell>
          <cell r="D5" t="str">
            <v>Credit Cards</v>
          </cell>
          <cell r="F5">
            <v>494.99</v>
          </cell>
        </row>
        <row r="6">
          <cell r="A6">
            <v>1</v>
          </cell>
          <cell r="D6" t="str">
            <v>paypal</v>
          </cell>
          <cell r="F6">
            <v>14.99</v>
          </cell>
        </row>
        <row r="7">
          <cell r="A7">
            <v>1</v>
          </cell>
          <cell r="D7" t="str">
            <v>paypal</v>
          </cell>
          <cell r="F7">
            <v>9.4499999999999993</v>
          </cell>
        </row>
        <row r="8">
          <cell r="A8">
            <v>1</v>
          </cell>
          <cell r="D8" t="str">
            <v>paypal</v>
          </cell>
          <cell r="F8">
            <v>8.99</v>
          </cell>
        </row>
        <row r="9">
          <cell r="A9">
            <v>1</v>
          </cell>
          <cell r="D9" t="str">
            <v>paypal</v>
          </cell>
          <cell r="F9">
            <v>4.99</v>
          </cell>
        </row>
        <row r="10">
          <cell r="A10">
            <v>1</v>
          </cell>
          <cell r="D10" t="str">
            <v>paypal</v>
          </cell>
          <cell r="F10">
            <v>4.97</v>
          </cell>
        </row>
        <row r="11">
          <cell r="A11">
            <v>1</v>
          </cell>
          <cell r="D11" t="str">
            <v>paypal</v>
          </cell>
          <cell r="F11">
            <v>0.99</v>
          </cell>
        </row>
        <row r="12">
          <cell r="A12">
            <v>1</v>
          </cell>
          <cell r="D12" t="str">
            <v>groceries</v>
          </cell>
          <cell r="F12">
            <v>315.38</v>
          </cell>
        </row>
        <row r="13">
          <cell r="A13">
            <v>1</v>
          </cell>
          <cell r="D13" t="str">
            <v>misc</v>
          </cell>
          <cell r="F13">
            <v>137.79</v>
          </cell>
        </row>
        <row r="14">
          <cell r="A14">
            <v>1</v>
          </cell>
          <cell r="D14" t="str">
            <v>household</v>
          </cell>
          <cell r="F14">
            <v>123.11</v>
          </cell>
        </row>
        <row r="15">
          <cell r="A15">
            <v>1</v>
          </cell>
          <cell r="D15" t="str">
            <v>misc</v>
          </cell>
          <cell r="F15">
            <v>93.61</v>
          </cell>
        </row>
        <row r="16">
          <cell r="A16">
            <v>1</v>
          </cell>
          <cell r="D16" t="str">
            <v>dining out</v>
          </cell>
          <cell r="F16">
            <v>44.04</v>
          </cell>
        </row>
        <row r="17">
          <cell r="A17">
            <v>1</v>
          </cell>
          <cell r="D17" t="str">
            <v>misc</v>
          </cell>
          <cell r="F17">
            <v>38.18</v>
          </cell>
        </row>
        <row r="18">
          <cell r="A18">
            <v>1</v>
          </cell>
          <cell r="D18" t="str">
            <v>dining out</v>
          </cell>
          <cell r="F18">
            <v>30.46</v>
          </cell>
        </row>
        <row r="19">
          <cell r="A19">
            <v>1</v>
          </cell>
          <cell r="D19" t="str">
            <v>dining out</v>
          </cell>
          <cell r="F19">
            <v>25.33</v>
          </cell>
        </row>
        <row r="20">
          <cell r="A20">
            <v>1</v>
          </cell>
          <cell r="D20" t="str">
            <v>dining out</v>
          </cell>
          <cell r="F20">
            <v>23.14</v>
          </cell>
        </row>
        <row r="21">
          <cell r="A21">
            <v>1</v>
          </cell>
          <cell r="D21" t="str">
            <v>dining out</v>
          </cell>
          <cell r="F21">
            <v>22.15</v>
          </cell>
        </row>
        <row r="22">
          <cell r="A22">
            <v>1</v>
          </cell>
          <cell r="D22" t="str">
            <v>dining out</v>
          </cell>
          <cell r="F22">
            <v>11.45</v>
          </cell>
        </row>
        <row r="23">
          <cell r="A23">
            <v>1</v>
          </cell>
          <cell r="D23" t="str">
            <v>dining out</v>
          </cell>
          <cell r="F23">
            <v>8.8800000000000008</v>
          </cell>
        </row>
        <row r="24">
          <cell r="A24">
            <v>1</v>
          </cell>
          <cell r="D24" t="str">
            <v>paypal</v>
          </cell>
          <cell r="F24">
            <v>388.56</v>
          </cell>
        </row>
        <row r="25">
          <cell r="A25">
            <v>1</v>
          </cell>
          <cell r="D25" t="str">
            <v>car insur</v>
          </cell>
          <cell r="F25">
            <v>78.290000000000006</v>
          </cell>
        </row>
        <row r="26">
          <cell r="A26">
            <v>1</v>
          </cell>
          <cell r="D26" t="str">
            <v>electric</v>
          </cell>
          <cell r="F26">
            <v>69.31</v>
          </cell>
        </row>
        <row r="27">
          <cell r="A27">
            <v>1</v>
          </cell>
          <cell r="D27" t="str">
            <v>life insurance</v>
          </cell>
          <cell r="F27">
            <v>26.98</v>
          </cell>
        </row>
        <row r="28">
          <cell r="A28">
            <v>1</v>
          </cell>
          <cell r="D28" t="str">
            <v>paypal</v>
          </cell>
          <cell r="F28">
            <v>4.99</v>
          </cell>
        </row>
        <row r="29">
          <cell r="A29">
            <v>1</v>
          </cell>
          <cell r="D29" t="str">
            <v>water</v>
          </cell>
          <cell r="F29">
            <v>155.31</v>
          </cell>
        </row>
        <row r="30">
          <cell r="A30">
            <v>1</v>
          </cell>
          <cell r="D30" t="str">
            <v>misc</v>
          </cell>
          <cell r="F30">
            <v>1096.99</v>
          </cell>
        </row>
        <row r="31">
          <cell r="A31">
            <v>1</v>
          </cell>
          <cell r="D31" t="str">
            <v>pets</v>
          </cell>
          <cell r="F31">
            <v>67.510000000000005</v>
          </cell>
        </row>
        <row r="32">
          <cell r="A32">
            <v>1</v>
          </cell>
          <cell r="D32" t="str">
            <v>groceries</v>
          </cell>
          <cell r="F32">
            <v>8.48</v>
          </cell>
        </row>
        <row r="33">
          <cell r="A33">
            <v>1</v>
          </cell>
          <cell r="D33" t="str">
            <v>life insurance</v>
          </cell>
          <cell r="F33">
            <v>181.22</v>
          </cell>
        </row>
        <row r="34">
          <cell r="A34">
            <v>1</v>
          </cell>
          <cell r="D34" t="str">
            <v>HOA</v>
          </cell>
          <cell r="F34">
            <v>85.68</v>
          </cell>
        </row>
        <row r="35">
          <cell r="A35">
            <v>1</v>
          </cell>
          <cell r="D35" t="str">
            <v>Gas</v>
          </cell>
          <cell r="F35">
            <v>59.89</v>
          </cell>
        </row>
        <row r="36">
          <cell r="A36">
            <v>1</v>
          </cell>
          <cell r="D36" t="str">
            <v>amazon</v>
          </cell>
          <cell r="F36">
            <v>18</v>
          </cell>
        </row>
      </sheetData>
      <sheetData sheetId="9"/>
      <sheetData sheetId="10"/>
      <sheetData sheetId="11"/>
      <sheetData sheetId="12"/>
      <sheetData sheetId="13">
        <row r="1">
          <cell r="A1">
            <v>44197</v>
          </cell>
          <cell r="J1">
            <v>44228</v>
          </cell>
          <cell r="S1">
            <v>44256</v>
          </cell>
          <cell r="AB1">
            <v>44287</v>
          </cell>
        </row>
        <row r="10">
          <cell r="A10">
            <v>44317</v>
          </cell>
          <cell r="J10">
            <v>44348</v>
          </cell>
          <cell r="S10">
            <v>44378</v>
          </cell>
          <cell r="AB10">
            <v>44409</v>
          </cell>
        </row>
        <row r="19">
          <cell r="A19">
            <v>44440</v>
          </cell>
          <cell r="J19">
            <v>44470</v>
          </cell>
          <cell r="S19">
            <v>44501</v>
          </cell>
          <cell r="AB19">
            <v>44531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G53"/>
  <sheetViews>
    <sheetView tabSelected="1" workbookViewId="0">
      <selection activeCell="D4" sqref="D4"/>
    </sheetView>
  </sheetViews>
  <sheetFormatPr baseColWidth="8" defaultRowHeight="15"/>
  <cols>
    <col width="43.42578125" customWidth="1" style="4" min="1" max="1"/>
    <col width="13.140625" bestFit="1" customWidth="1" style="4" min="2" max="2"/>
    <col width="50.7109375" bestFit="1" customWidth="1" style="4" min="4" max="4"/>
    <col width="24.28515625" customWidth="1" style="4" min="5" max="5"/>
    <col width="13.140625" bestFit="1" customWidth="1" style="4" min="7" max="7"/>
  </cols>
  <sheetData>
    <row r="1">
      <c r="A1" s="1" t="inlineStr">
        <is>
          <t>AMAZON.COM</t>
        </is>
      </c>
      <c r="B1" t="inlineStr">
        <is>
          <t>amazon</t>
        </is>
      </c>
      <c r="D1" s="1" t="inlineStr">
        <is>
          <t>TRANSAMERICA INS PREM</t>
        </is>
      </c>
      <c r="E1" s="1" t="inlineStr">
        <is>
          <t>life insurance</t>
        </is>
      </c>
      <c r="G1">
        <f>INDEX(cats,MATCH("*"&amp;D1&amp;"*",exDB,0))</f>
        <v/>
      </c>
    </row>
    <row r="2">
      <c r="A2" s="2" t="inlineStr">
        <is>
          <t>AMZN MKTP</t>
        </is>
      </c>
      <c r="B2" s="3" t="inlineStr">
        <is>
          <t>amazon</t>
        </is>
      </c>
      <c r="D2" s="1" t="inlineStr">
        <is>
          <t>AMAZON.COM*1T9SS2M AMZN.COM/BILLWA</t>
        </is>
      </c>
      <c r="E2" s="1" t="inlineStr">
        <is>
          <t>amazon</t>
        </is>
      </c>
      <c r="G2">
        <f>INDEX(cats,MATCH("*"&amp;D2&amp;"*",exDB,0))</f>
        <v/>
      </c>
    </row>
    <row r="3">
      <c r="A3" s="1" t="inlineStr">
        <is>
          <t>PRIME VIDEO</t>
        </is>
      </c>
      <c r="B3" t="inlineStr">
        <is>
          <t>amazon</t>
        </is>
      </c>
      <c r="D3" s="1" t="inlineStr">
        <is>
          <t>AMERICAN GEN LIF INS PAYMT</t>
        </is>
      </c>
      <c r="E3" s="1" t="inlineStr">
        <is>
          <t>life insurance</t>
        </is>
      </c>
      <c r="G3">
        <f>INDEX(cats,MATCH("*"&amp;D3&amp;"*",exDB,0))</f>
        <v/>
      </c>
    </row>
    <row r="4">
      <c r="A4" s="1" t="inlineStr">
        <is>
          <t>ATT FORD RECURRING</t>
        </is>
      </c>
      <c r="B4" t="inlineStr">
        <is>
          <t>Auto</t>
        </is>
      </c>
      <c r="D4" s="1" t="inlineStr">
        <is>
          <t>AMZN MKTP US*03692 AMZN.COM/BILLWA</t>
        </is>
      </c>
      <c r="E4" s="1" t="inlineStr">
        <is>
          <t>amazon</t>
        </is>
      </c>
      <c r="G4">
        <f>INDEX(cats,MATCH("*"&amp;D4&amp;"*",exDB,0))</f>
        <v/>
      </c>
    </row>
    <row r="5">
      <c r="A5" s="1" t="inlineStr">
        <is>
          <t>EXXONMOBIL</t>
        </is>
      </c>
      <c r="B5" t="inlineStr">
        <is>
          <t>Auto</t>
        </is>
      </c>
      <c r="D5" s="1" t="inlineStr">
        <is>
          <t>APPLE.COM/US 800-676-2775 CA</t>
        </is>
      </c>
      <c r="E5" s="1" t="inlineStr">
        <is>
          <t>Itunes</t>
        </is>
      </c>
      <c r="G5">
        <f>INDEX(cats,MATCH("*"&amp;D5&amp;"*",exDB,0))</f>
        <v/>
      </c>
    </row>
    <row r="6">
      <c r="A6" s="1" t="inlineStr">
        <is>
          <t>SHELL SERVICE STATION BURKE VAUS</t>
        </is>
      </c>
      <c r="B6" t="inlineStr">
        <is>
          <t>Auto</t>
        </is>
      </c>
      <c r="D6" s="1" t="inlineStr">
        <is>
          <t>ATT FORD RECURRING 800-331-0500 TX</t>
        </is>
      </c>
      <c r="E6" s="1" t="inlineStr">
        <is>
          <t>Auto</t>
        </is>
      </c>
      <c r="G6">
        <f>INDEX(cats,MATCH("*"&amp;D6&amp;"*",exDB,0))</f>
        <v/>
      </c>
    </row>
    <row r="7">
      <c r="A7" s="1" t="inlineStr">
        <is>
          <t>eDeposit-Scan/Mobile</t>
        </is>
      </c>
      <c r="B7" s="5" t="inlineStr">
        <is>
          <t>Check</t>
        </is>
      </c>
      <c r="D7" s="1" t="inlineStr">
        <is>
          <t>BARNES&amp;NOBLE.COM-B 800-843-2665 NY</t>
        </is>
      </c>
      <c r="E7" s="1" t="e">
        <v>#N/A</v>
      </c>
      <c r="G7">
        <f>INDEX(cats,MATCH("*"&amp;D7&amp;"*",exDB,0))</f>
        <v/>
      </c>
    </row>
    <row r="8">
      <c r="A8" s="2" t="inlineStr">
        <is>
          <t>GRUBHUB.COM NY</t>
        </is>
      </c>
      <c r="B8" s="3" t="inlineStr">
        <is>
          <t>dining out</t>
        </is>
      </c>
      <c r="D8" s="1" t="inlineStr">
        <is>
          <t>BARNESNOBLE 6646 Loisd Springfield VAUS</t>
        </is>
      </c>
      <c r="E8" s="1" t="e">
        <v>#N/A</v>
      </c>
      <c r="G8">
        <f>INDEX(cats,MATCH("*"&amp;D8&amp;"*",exDB,0))</f>
        <v/>
      </c>
    </row>
    <row r="9">
      <c r="A9" s="1" t="inlineStr">
        <is>
          <t>THE SWISS BAKERY</t>
        </is>
      </c>
      <c r="B9" t="inlineStr">
        <is>
          <t>dining out</t>
        </is>
      </c>
      <c r="D9" s="1" t="inlineStr">
        <is>
          <t>BEST BUY #269 SPRINGFIELD VAUS</t>
        </is>
      </c>
      <c r="E9" s="1" t="inlineStr">
        <is>
          <t>household</t>
        </is>
      </c>
      <c r="G9">
        <f>INDEX(cats,MATCH("*"&amp;D9&amp;"*",exDB,0))</f>
        <v/>
      </c>
    </row>
    <row r="10">
      <c r="A10" t="inlineStr">
        <is>
          <t>WWW.DOORDASH.CA</t>
        </is>
      </c>
      <c r="B10" s="3" t="inlineStr">
        <is>
          <t>dining out</t>
        </is>
      </c>
      <c r="D10" s="1" t="inlineStr">
        <is>
          <t>BESTBUY.COM 8882378289 MN</t>
        </is>
      </c>
      <c r="E10" s="1" t="inlineStr">
        <is>
          <t>household</t>
        </is>
      </c>
      <c r="G10">
        <f>INDEX(cats,MATCH("*"&amp;D10&amp;"*",exDB,0))</f>
        <v/>
      </c>
    </row>
    <row r="11">
      <c r="A11" s="1" t="inlineStr">
        <is>
          <t>Dividend</t>
        </is>
      </c>
      <c r="B11" s="3" t="inlineStr">
        <is>
          <t>div</t>
        </is>
      </c>
      <c r="D11" s="1" t="inlineStr">
        <is>
          <t>BESTBUY.COM 8882378289 MN</t>
        </is>
      </c>
      <c r="E11" s="1" t="inlineStr">
        <is>
          <t>household</t>
        </is>
      </c>
      <c r="G11">
        <f>INDEX(cats,MATCH("*"&amp;D11&amp;"*",exDB,0))</f>
        <v/>
      </c>
    </row>
    <row r="12">
      <c r="A12" t="inlineStr">
        <is>
          <t>DOMINION ENERGY ELEC BILL</t>
        </is>
      </c>
      <c r="B12" s="5" t="inlineStr">
        <is>
          <t>electric</t>
        </is>
      </c>
      <c r="D12" s="1" t="inlineStr">
        <is>
          <t>CBS ALL ACCESS 888-274-5343 CA</t>
        </is>
      </c>
      <c r="E12" s="1" t="inlineStr">
        <is>
          <t>misc</t>
        </is>
      </c>
      <c r="G12">
        <f>INDEX(cats,MATCH("*"&amp;D12&amp;"*",exDB,0))</f>
        <v/>
      </c>
    </row>
    <row r="13">
      <c r="A13" s="2" t="inlineStr">
        <is>
          <t>WASHINGTON GAS PAYMENT</t>
        </is>
      </c>
      <c r="B13" s="3" t="inlineStr">
        <is>
          <t>Gas</t>
        </is>
      </c>
      <c r="D13" s="1" t="inlineStr">
        <is>
          <t>COAST GUARD CLEANE ALEXANDRIA VA</t>
        </is>
      </c>
      <c r="E13" s="1" t="inlineStr">
        <is>
          <t>misc</t>
        </is>
      </c>
      <c r="G13">
        <f>INDEX(cats,MATCH("*"&amp;D13&amp;"*",exDB,0))</f>
        <v/>
      </c>
    </row>
    <row r="14">
      <c r="A14" s="2" t="inlineStr">
        <is>
          <t>GIANT</t>
        </is>
      </c>
      <c r="B14" s="3" t="inlineStr">
        <is>
          <t>groceries</t>
        </is>
      </c>
      <c r="D14" s="1" t="inlineStr">
        <is>
          <t>DOMINION ENERGY ELEC BILL</t>
        </is>
      </c>
      <c r="E14" s="1" t="inlineStr">
        <is>
          <t>electric</t>
        </is>
      </c>
      <c r="G14">
        <f>INDEX(cats,MATCH("*"&amp;D14&amp;"*",exDB,0))</f>
        <v/>
      </c>
    </row>
    <row r="15">
      <c r="A15" s="1" t="inlineStr">
        <is>
          <t>WEGMANS</t>
        </is>
      </c>
      <c r="B15" s="5" t="inlineStr">
        <is>
          <t>groceries</t>
        </is>
      </c>
      <c r="D15" s="1" t="inlineStr">
        <is>
          <t>DOMINION ENERGY ELEC BILL</t>
        </is>
      </c>
      <c r="E15" s="1" t="inlineStr">
        <is>
          <t>electric</t>
        </is>
      </c>
      <c r="G15">
        <f>INDEX(cats,MATCH("*"&amp;D15&amp;"*",exDB,0))</f>
        <v/>
      </c>
    </row>
    <row r="16">
      <c r="A16" s="1" t="inlineStr">
        <is>
          <t>BEST BUY</t>
        </is>
      </c>
      <c r="B16" t="inlineStr">
        <is>
          <t>household</t>
        </is>
      </c>
      <c r="D16" s="1" t="inlineStr">
        <is>
          <t>DOORDASH*CURRY HOU WWW.DOORDASH.CA</t>
        </is>
      </c>
      <c r="E16" s="1" t="inlineStr">
        <is>
          <t>dining out</t>
        </is>
      </c>
      <c r="G16">
        <f>INDEX(cats,MATCH("*"&amp;D16&amp;"*",exDB,0))</f>
        <v/>
      </c>
    </row>
    <row r="17">
      <c r="A17" s="1" t="inlineStr">
        <is>
          <t>BESTBUY.COM</t>
        </is>
      </c>
      <c r="B17" t="inlineStr">
        <is>
          <t>household</t>
        </is>
      </c>
      <c r="D17" s="1" t="inlineStr">
        <is>
          <t>DOORDASH*FREDDYS F WWW.DOORDASH.CA</t>
        </is>
      </c>
      <c r="E17" s="1" t="inlineStr">
        <is>
          <t>dining out</t>
        </is>
      </c>
      <c r="G17">
        <f>INDEX(cats,MATCH("*"&amp;D17&amp;"*",exDB,0))</f>
        <v/>
      </c>
    </row>
    <row r="18">
      <c r="A18" s="2" t="inlineStr">
        <is>
          <t>THE HOME DEPOT</t>
        </is>
      </c>
      <c r="B18" s="3" t="inlineStr">
        <is>
          <t>household</t>
        </is>
      </c>
      <c r="D18" s="1" t="inlineStr">
        <is>
          <t>eDeposit-Scan/Mobile</t>
        </is>
      </c>
      <c r="E18" s="1" t="inlineStr">
        <is>
          <t>Check</t>
        </is>
      </c>
      <c r="G18">
        <f>INDEX(cats,MATCH("*"&amp;D18&amp;"*",exDB,0))</f>
        <v/>
      </c>
    </row>
    <row r="19">
      <c r="A19" s="1" t="inlineStr">
        <is>
          <t>VERIZON PAYMENTREC</t>
        </is>
      </c>
      <c r="B19" s="5" t="inlineStr">
        <is>
          <t>internet</t>
        </is>
      </c>
      <c r="D19" s="1" t="inlineStr">
        <is>
          <t>EXXONMOBIL 4784 SPRINGFIELD VA</t>
        </is>
      </c>
      <c r="E19" s="1" t="inlineStr">
        <is>
          <t>Auto</t>
        </is>
      </c>
      <c r="G19">
        <f>INDEX(cats,MATCH("*"&amp;D19&amp;"*",exDB,0))</f>
        <v/>
      </c>
    </row>
    <row r="20">
      <c r="A20" s="1" t="inlineStr">
        <is>
          <t>FIDELITY FIIS FIIS</t>
        </is>
      </c>
      <c r="B20" t="inlineStr">
        <is>
          <t>investments</t>
        </is>
      </c>
      <c r="D20" s="1" t="inlineStr">
        <is>
          <t>FCWA PAYMENT</t>
        </is>
      </c>
      <c r="E20" s="1" t="inlineStr">
        <is>
          <t>water</t>
        </is>
      </c>
      <c r="G20">
        <f>INDEX(cats,MATCH("*"&amp;D20&amp;"*",exDB,0))</f>
        <v/>
      </c>
    </row>
    <row r="21">
      <c r="A21" s="1" t="inlineStr">
        <is>
          <t>APPLE.COM</t>
        </is>
      </c>
      <c r="B21" t="inlineStr">
        <is>
          <t>Itunes</t>
        </is>
      </c>
      <c r="D21" s="1" t="inlineStr">
        <is>
          <t>FIDELITY FIIS FIIS</t>
        </is>
      </c>
      <c r="E21" s="1" t="inlineStr">
        <is>
          <t>investments</t>
        </is>
      </c>
      <c r="G21">
        <f>INDEX(cats,MATCH("*"&amp;D21&amp;"*",exDB,0))</f>
        <v/>
      </c>
    </row>
    <row r="22">
      <c r="A22" t="inlineStr">
        <is>
          <t>AMERICAN GEN LIF INS PAYMT</t>
        </is>
      </c>
      <c r="B22" s="5" t="inlineStr">
        <is>
          <t>life insurance</t>
        </is>
      </c>
      <c r="D22" s="1" t="inlineStr">
        <is>
          <t>FIDELITY FIIS FIIS</t>
        </is>
      </c>
      <c r="E22" s="1" t="inlineStr">
        <is>
          <t>investments</t>
        </is>
      </c>
      <c r="G22">
        <f>INDEX(cats,MATCH("*"&amp;D22&amp;"*",exDB,0))</f>
        <v/>
      </c>
    </row>
    <row r="23">
      <c r="A23" s="2" t="inlineStr">
        <is>
          <t>TRANSAMERICA INS PREM</t>
        </is>
      </c>
      <c r="B23" s="3" t="inlineStr">
        <is>
          <t>life insurance</t>
        </is>
      </c>
      <c r="D23" s="1" t="inlineStr">
        <is>
          <t>GIANT 2743 8970 BURKE SPRINGFIELD VAUS</t>
        </is>
      </c>
      <c r="E23" s="1" t="inlineStr">
        <is>
          <t>groceries</t>
        </is>
      </c>
      <c r="G23">
        <f>INDEX(cats,MATCH("*"&amp;D23&amp;"*",exDB,0))</f>
        <v/>
      </c>
    </row>
    <row r="24">
      <c r="A24" s="1" t="inlineStr">
        <is>
          <t>CBS ALL ACCESS 888-274-5343 CA</t>
        </is>
      </c>
      <c r="B24" t="inlineStr">
        <is>
          <t>misc</t>
        </is>
      </c>
      <c r="D24" s="1" t="inlineStr">
        <is>
          <t>GIANT 2743 SPRINGFIELD VAUS</t>
        </is>
      </c>
      <c r="E24" s="1" t="inlineStr">
        <is>
          <t>groceries</t>
        </is>
      </c>
      <c r="G24">
        <f>INDEX(cats,MATCH("*"&amp;D24&amp;"*",exDB,0))</f>
        <v/>
      </c>
    </row>
    <row r="25">
      <c r="A25" s="1" t="inlineStr">
        <is>
          <t>COAST GUARD CLEANE ALEXANDRIA VA</t>
        </is>
      </c>
      <c r="B25" t="inlineStr">
        <is>
          <t>misc</t>
        </is>
      </c>
      <c r="D25" s="1" t="inlineStr">
        <is>
          <t>GRUBHUBANITASNEWME GRUBHUB.COM NY</t>
        </is>
      </c>
      <c r="E25" s="1" t="inlineStr">
        <is>
          <t>dining out</t>
        </is>
      </c>
      <c r="G25">
        <f>INDEX(cats,MATCH("*"&amp;D25&amp;"*",exDB,0))</f>
        <v/>
      </c>
    </row>
    <row r="26">
      <c r="A26" s="2" t="inlineStr">
        <is>
          <t>JOANN STOREs</t>
        </is>
      </c>
      <c r="B26" s="3" t="inlineStr">
        <is>
          <t>misc</t>
        </is>
      </c>
      <c r="D26" s="1" t="inlineStr">
        <is>
          <t>GRUBHUBBRIONSGRILL GRUBHUB.COM NY</t>
        </is>
      </c>
      <c r="E26" s="1" t="inlineStr">
        <is>
          <t>dining out</t>
        </is>
      </c>
      <c r="G26">
        <f>INDEX(cats,MATCH("*"&amp;D26&amp;"*",exDB,0))</f>
        <v/>
      </c>
    </row>
    <row r="27">
      <c r="A27" s="1" t="inlineStr">
        <is>
          <t>MICHAELS STORES</t>
        </is>
      </c>
      <c r="B27" t="inlineStr">
        <is>
          <t>misc</t>
        </is>
      </c>
      <c r="D27" s="1" t="inlineStr">
        <is>
          <t>GRUBHUBTACOBELL GRUBHUB.COM NY</t>
        </is>
      </c>
      <c r="E27" s="1" t="inlineStr">
        <is>
          <t>dining out</t>
        </is>
      </c>
      <c r="G27">
        <f>INDEX(cats,MATCH("*"&amp;D27&amp;"*",exDB,0))</f>
        <v/>
      </c>
    </row>
    <row r="28">
      <c r="A28" s="2" t="inlineStr">
        <is>
          <t>MICRO ELECTRONIC</t>
        </is>
      </c>
      <c r="B28" s="3" t="inlineStr">
        <is>
          <t>misc</t>
        </is>
      </c>
      <c r="D28" s="1" t="inlineStr">
        <is>
          <t>LINCOLN AFS FORDCREDIT</t>
        </is>
      </c>
      <c r="E28" s="1" t="e">
        <v>#N/A</v>
      </c>
      <c r="G28">
        <f>INDEX(cats,MATCH("*"&amp;D28&amp;"*",exDB,0))</f>
        <v/>
      </c>
    </row>
    <row r="29">
      <c r="A29" s="1" t="inlineStr">
        <is>
          <t>SLACK</t>
        </is>
      </c>
      <c r="B29" t="inlineStr">
        <is>
          <t>misc</t>
        </is>
      </c>
      <c r="D29" s="1" t="inlineStr">
        <is>
          <t>LINCOLN AFS FORDCREDIT</t>
        </is>
      </c>
      <c r="E29" s="1" t="e">
        <v>#N/A</v>
      </c>
      <c r="G29">
        <f>INDEX(cats,MATCH("*"&amp;D29&amp;"*",exDB,0))</f>
        <v/>
      </c>
    </row>
    <row r="30">
      <c r="A30" s="1" t="inlineStr">
        <is>
          <t>THE UPS STORE</t>
        </is>
      </c>
      <c r="B30" t="inlineStr">
        <is>
          <t>misc</t>
        </is>
      </c>
      <c r="D30" s="1" t="inlineStr">
        <is>
          <t>MAGNOLIA HI FI 608 SPRINGFIELD VA</t>
        </is>
      </c>
      <c r="E30" s="1" t="e">
        <v>#N/A</v>
      </c>
      <c r="G30">
        <f>INDEX(cats,MATCH("*"&amp;D30&amp;"*",exDB,0))</f>
        <v/>
      </c>
    </row>
    <row r="31">
      <c r="A31" s="2" t="inlineStr">
        <is>
          <t>RLMS RLMS ACH</t>
        </is>
      </c>
      <c r="B31" s="3" t="inlineStr">
        <is>
          <t>mortgage</t>
        </is>
      </c>
      <c r="D31" s="1" t="inlineStr">
        <is>
          <t>MICHAELS STORES 2069 6 SPRINGFIELD VAUS</t>
        </is>
      </c>
      <c r="E31" s="1" t="inlineStr">
        <is>
          <t>misc</t>
        </is>
      </c>
      <c r="G31">
        <f>INDEX(cats,MATCH("*"&amp;D31&amp;"*",exDB,0))</f>
        <v/>
      </c>
    </row>
    <row r="32">
      <c r="A32" s="1" t="inlineStr">
        <is>
          <t>PAYPAL</t>
        </is>
      </c>
      <c r="B32" t="inlineStr">
        <is>
          <t>paypal</t>
        </is>
      </c>
      <c r="D32" s="1" t="inlineStr">
        <is>
          <t>MICHAELS STORES 8804 3 FAIRFAX VAUS</t>
        </is>
      </c>
      <c r="E32" s="1" t="inlineStr">
        <is>
          <t>misc</t>
        </is>
      </c>
      <c r="G32">
        <f>INDEX(cats,MATCH("*"&amp;D32&amp;"*",exDB,0))</f>
        <v/>
      </c>
    </row>
    <row r="33">
      <c r="A33" s="2" t="inlineStr">
        <is>
          <t>PETCO</t>
        </is>
      </c>
      <c r="B33" s="3" t="inlineStr">
        <is>
          <t>pets</t>
        </is>
      </c>
      <c r="D33" s="1" t="inlineStr">
        <is>
          <t>MICRO ELECTRONIC 3089 Fairfax VAUS</t>
        </is>
      </c>
      <c r="E33" s="1" t="inlineStr">
        <is>
          <t>misc</t>
        </is>
      </c>
      <c r="G33">
        <f>INDEX(cats,MATCH("*"&amp;D33&amp;"*",exDB,0))</f>
        <v/>
      </c>
    </row>
    <row r="34">
      <c r="A34" s="1" t="inlineStr">
        <is>
          <t>PETSMART</t>
        </is>
      </c>
      <c r="B34" s="3" t="inlineStr">
        <is>
          <t>pets</t>
        </is>
      </c>
      <c r="D34" s="1" t="inlineStr">
        <is>
          <t>PAYPAL INST XFER</t>
        </is>
      </c>
      <c r="E34" s="1" t="inlineStr">
        <is>
          <t>paypal</t>
        </is>
      </c>
      <c r="G34">
        <f>INDEX(cats,MATCH("*"&amp;D34&amp;"*",exDB,0))</f>
        <v/>
      </c>
    </row>
    <row r="35">
      <c r="A35" s="1" t="inlineStr">
        <is>
          <t>TMOBILE</t>
        </is>
      </c>
      <c r="B35" t="inlineStr">
        <is>
          <t>phone</t>
        </is>
      </c>
      <c r="D35" s="1" t="inlineStr">
        <is>
          <t>PETCO 1723 6351 BURKE VA</t>
        </is>
      </c>
      <c r="E35" s="1" t="inlineStr">
        <is>
          <t>pets</t>
        </is>
      </c>
      <c r="G35">
        <f>INDEX(cats,MATCH("*"&amp;D35&amp;"*",exDB,0))</f>
        <v/>
      </c>
    </row>
    <row r="36">
      <c r="A36" s="1" t="inlineStr">
        <is>
          <t>POS Adjustment</t>
        </is>
      </c>
      <c r="B36" t="inlineStr">
        <is>
          <t>refund</t>
        </is>
      </c>
      <c r="D36" s="1" t="inlineStr">
        <is>
          <t>PETSMART # 0446 SPRINGFIELD VAUS</t>
        </is>
      </c>
      <c r="E36" s="1" t="inlineStr">
        <is>
          <t>pets</t>
        </is>
      </c>
      <c r="G36">
        <f>INDEX(cats,MATCH("*"&amp;D36&amp;"*",exDB,0))</f>
        <v/>
      </c>
    </row>
    <row r="37">
      <c r="A37" s="2" t="inlineStr">
        <is>
          <t>FCWA PAYMENT</t>
        </is>
      </c>
      <c r="B37" s="3" t="inlineStr">
        <is>
          <t>water</t>
        </is>
      </c>
      <c r="D37" s="1" t="inlineStr">
        <is>
          <t>POS Adjustment - BEST BUY 0000 SPRINGFIELD VA</t>
        </is>
      </c>
      <c r="E37" s="1" t="inlineStr">
        <is>
          <t>refund</t>
        </is>
      </c>
      <c r="G37">
        <f>INDEX(cats,MATCH("*"&amp;D37&amp;"*",exDB,0))</f>
        <v/>
      </c>
    </row>
    <row r="38">
      <c r="D38" s="1" t="inlineStr">
        <is>
          <t>POS Adjustment - GIANT 2743 SPRINGFIELD VA</t>
        </is>
      </c>
      <c r="E38" s="1" t="inlineStr">
        <is>
          <t>refund</t>
        </is>
      </c>
      <c r="G38">
        <f>INDEX(cats,MATCH("*"&amp;D38&amp;"*",exDB,0))</f>
        <v/>
      </c>
    </row>
    <row r="39">
      <c r="D39" s="1" t="inlineStr">
        <is>
          <t>POS Adjustment - USPS PO BOXES ONLI 800-3447779 DC</t>
        </is>
      </c>
      <c r="E39" s="1" t="inlineStr">
        <is>
          <t>refund</t>
        </is>
      </c>
      <c r="G39">
        <f>INDEX(cats,MATCH("*"&amp;D39&amp;"*",exDB,0))</f>
        <v/>
      </c>
    </row>
    <row r="40">
      <c r="D40" s="1" t="inlineStr">
        <is>
          <t>PRIME VIDEO*261IS0 888-802-3080 WA</t>
        </is>
      </c>
      <c r="E40" s="1" t="inlineStr">
        <is>
          <t>amazon</t>
        </is>
      </c>
      <c r="G40">
        <f>INDEX(cats,MATCH("*"&amp;D40&amp;"*",exDB,0))</f>
        <v/>
      </c>
    </row>
    <row r="41">
      <c r="D41" s="1" t="inlineStr">
        <is>
          <t>RLMS RLMS ACH</t>
        </is>
      </c>
      <c r="E41" s="1" t="inlineStr">
        <is>
          <t>mortgage</t>
        </is>
      </c>
      <c r="G41">
        <f>INDEX(cats,MATCH("*"&amp;D41&amp;"*",exDB,0))</f>
        <v/>
      </c>
    </row>
    <row r="42">
      <c r="D42" s="1" t="inlineStr">
        <is>
          <t>RLMS RLMS ACH</t>
        </is>
      </c>
      <c r="E42" s="1" t="inlineStr">
        <is>
          <t>mortgage</t>
        </is>
      </c>
      <c r="G42">
        <f>INDEX(cats,MATCH("*"&amp;D42&amp;"*",exDB,0))</f>
        <v/>
      </c>
    </row>
    <row r="43">
      <c r="D43" s="1" t="inlineStr">
        <is>
          <t>SHELL SERVICE STATION BURKE VAUS</t>
        </is>
      </c>
      <c r="E43" s="1" t="inlineStr">
        <is>
          <t>Auto</t>
        </is>
      </c>
      <c r="G43">
        <f>INDEX(cats,MATCH("*"&amp;D43&amp;"*",exDB,0))</f>
        <v/>
      </c>
    </row>
    <row r="44">
      <c r="D44" s="1" t="inlineStr">
        <is>
          <t>SLACK T01BV8MP32M HTTPSSLACK.COCA</t>
        </is>
      </c>
      <c r="E44" s="1" t="inlineStr">
        <is>
          <t>misc</t>
        </is>
      </c>
      <c r="G44">
        <f>INDEX(cats,MATCH("*"&amp;D44&amp;"*",exDB,0))</f>
        <v/>
      </c>
    </row>
    <row r="45">
      <c r="D45" s="1" t="inlineStr">
        <is>
          <t>SP * BROOKLINEN WWW.BROOKLINENY</t>
        </is>
      </c>
      <c r="E45" s="1" t="e">
        <v>#N/A</v>
      </c>
      <c r="G45">
        <f>INDEX(cats,MATCH("*"&amp;D45&amp;"*",exDB,0))</f>
        <v/>
      </c>
    </row>
    <row r="46">
      <c r="D46" s="1" t="inlineStr">
        <is>
          <t>TARGET T- 10301 New Gu Fairfax VAUS</t>
        </is>
      </c>
      <c r="E46" s="1" t="e">
        <v>#N/A</v>
      </c>
      <c r="G46">
        <f>INDEX(cats,MATCH("*"&amp;D46&amp;"*",exDB,0))</f>
        <v/>
      </c>
    </row>
    <row r="47">
      <c r="D47" s="1" t="inlineStr">
        <is>
          <t>THE HOME DEPOT #4617 SPRINGFIELD VAUS</t>
        </is>
      </c>
      <c r="E47" s="1" t="inlineStr">
        <is>
          <t>household</t>
        </is>
      </c>
      <c r="G47">
        <f>INDEX(cats,MATCH("*"&amp;D47&amp;"*",exDB,0))</f>
        <v/>
      </c>
    </row>
    <row r="48">
      <c r="D48" s="1" t="inlineStr">
        <is>
          <t>THE HOME DEPOT #4639 FAIRFAX VAUS</t>
        </is>
      </c>
      <c r="E48" s="1" t="inlineStr">
        <is>
          <t>household</t>
        </is>
      </c>
      <c r="G48">
        <f>INDEX(cats,MATCH("*"&amp;D48&amp;"*",exDB,0))</f>
        <v/>
      </c>
    </row>
    <row r="49">
      <c r="D49" s="1" t="inlineStr">
        <is>
          <t>TMOBILE*AUTO PAY 800-937-8997 WA</t>
        </is>
      </c>
      <c r="E49" s="1" t="inlineStr">
        <is>
          <t>phone</t>
        </is>
      </c>
      <c r="G49">
        <f>INDEX(cats,MATCH("*"&amp;D49&amp;"*",exDB,0))</f>
        <v/>
      </c>
    </row>
    <row r="50">
      <c r="D50" s="1" t="inlineStr">
        <is>
          <t>TRANSAMERICA INS PREM</t>
        </is>
      </c>
      <c r="E50" s="1" t="inlineStr">
        <is>
          <t>life insurance</t>
        </is>
      </c>
      <c r="G50">
        <f>INDEX(cats,MATCH("*"&amp;D50&amp;"*",exDB,0))</f>
        <v/>
      </c>
    </row>
    <row r="51">
      <c r="D51" s="1" t="inlineStr">
        <is>
          <t>VERIZON PAYMENTREC</t>
        </is>
      </c>
      <c r="E51" s="1" t="inlineStr">
        <is>
          <t>internet</t>
        </is>
      </c>
      <c r="G51">
        <f>INDEX(cats,MATCH("*"&amp;D51&amp;"*",exDB,0))</f>
        <v/>
      </c>
    </row>
    <row r="52">
      <c r="D52" s="1" t="inlineStr">
        <is>
          <t>WASHINGTON GAS PAYMENT</t>
        </is>
      </c>
      <c r="E52" s="1" t="inlineStr">
        <is>
          <t>Gas</t>
        </is>
      </c>
      <c r="G52">
        <f>INDEX(cats,MATCH("*"&amp;D52&amp;"*",exDB,0))</f>
        <v/>
      </c>
    </row>
    <row r="53">
      <c r="D53" s="1" t="inlineStr">
        <is>
          <t>WEGMANS ALEXANDRIA ALEXANDRIA VA</t>
        </is>
      </c>
      <c r="E53" s="1" t="inlineStr">
        <is>
          <t>groceries</t>
        </is>
      </c>
      <c r="G53">
        <f>INDEX(cats,MATCH("*"&amp;D53&amp;"*",exDB,0))</f>
        <v/>
      </c>
    </row>
  </sheetData>
  <conditionalFormatting sqref="A1:B3">
    <cfRule type="expression" priority="8" dxfId="6" stopIfTrue="1">
      <formula>OR(#REF!="DFAS", #REF!="Check", #REF!="Transfer to Checking", #REF!="Divs", #REF!="refunds")</formula>
    </cfRule>
    <cfRule type="expression" priority="9" dxfId="5" stopIfTrue="1">
      <formula>OR(#REF!="Mortgage", #REF!="HOA", #REF!="Car payments", #REF!="Car Insur", #REF!="Life Insurance", #REF!="daycare")</formula>
    </cfRule>
    <cfRule type="expression" priority="10" dxfId="4" stopIfTrue="1">
      <formula>OR(#REF!="phone", #REF!="gas", #REF!="water", #REF!="electric", #REF!="internet")</formula>
    </cfRule>
    <cfRule type="expression" priority="11" dxfId="3" stopIfTrue="1">
      <formula>OR(#REF!="Amazon", #REF!="Itunes", #REF!="Dining Out", #REF!="Defac", #REF!="Paypal")</formula>
    </cfRule>
    <cfRule type="expression" priority="12" dxfId="2" stopIfTrue="1">
      <formula>OR(#REF!="Misc", #REF!="auto", #REF!="Groceries", #REF!="household", #REF!="Gitfs", #REF!="Credit Cards", #REF!="pets")</formula>
    </cfRule>
    <cfRule type="expression" priority="13" dxfId="1" stopIfTrue="1">
      <formula>OR(#REF!="E-fund", #REF!="Roth", #REF!="investments", #REF!="savings")</formula>
    </cfRule>
  </conditionalFormatting>
  <conditionalFormatting sqref="A1:A25">
    <cfRule type="duplicateValues" priority="2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Bethoney Megan A</dc:creator>
  <dcterms:created xmlns:dcterms="http://purl.org/dc/terms/" xmlns:xsi="http://www.w3.org/2001/XMLSchema-instance" xsi:type="dcterms:W3CDTF">2021-01-08T16:03:30Z</dcterms:created>
  <dcterms:modified xmlns:dcterms="http://purl.org/dc/terms/" xmlns:xsi="http://www.w3.org/2001/XMLSchema-instance" xsi:type="dcterms:W3CDTF">2026-09-06T05:00:59Z</dcterms:modified>
  <cp:lastModifiedBy>Bethoney Megan A</cp:lastModifiedBy>
</cp:coreProperties>
</file>